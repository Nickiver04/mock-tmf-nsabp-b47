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MF Index" sheetId="2" state="visible" r:id="rId2"/>
    <sheet xmlns:r="http://schemas.openxmlformats.org/officeDocument/2006/relationships" name="Completeness Tracker" sheetId="3" state="visible" r:id="rId3"/>
  </sheets>
  <definedNames>
    <definedName name="_xlnm._FilterDatabase" localSheetId="1" hidden="1">'TMF Index'!$B$1:$I$91</definedName>
    <definedName name="_xlnm._FilterDatabase" localSheetId="2" hidden="1">'Completeness Tracker'!$B$1:$G$38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1F3864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7145"/>
      <sz val="9"/>
    </font>
    <font>
      <name val="Arial"/>
      <sz val="9"/>
    </font>
    <font>
      <name val="Arial"/>
      <b val="1"/>
      <color rgb="007F6000"/>
      <sz val="9"/>
    </font>
    <font>
      <name val="Arial"/>
      <b val="1"/>
      <color rgb="00595959"/>
      <sz val="9"/>
    </font>
    <font>
      <name val="Arial"/>
      <b val="1"/>
      <color rgb="00C00000"/>
      <sz val="9"/>
    </font>
    <font>
      <name val="Arial"/>
      <i val="1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i val="1"/>
      <color rgb="001F3864"/>
      <sz val="9"/>
    </font>
    <font>
      <name val="Arial"/>
      <color rgb="007F6000"/>
      <sz val="9"/>
    </font>
    <font>
      <name val="Arial"/>
      <b val="1"/>
      <color rgb="007F6000"/>
      <sz val="8"/>
    </font>
    <font>
      <name val="Arial"/>
      <color rgb="00C00000"/>
      <sz val="9"/>
    </font>
    <font>
      <name val="Arial"/>
      <b val="1"/>
      <color rgb="00C00000"/>
      <sz val="8"/>
    </font>
    <font>
      <name val="Arial"/>
      <color rgb="001E7145"/>
      <sz val="9"/>
    </font>
    <font>
      <name val="Arial"/>
      <b val="1"/>
      <color rgb="001E7145"/>
      <sz val="8"/>
    </font>
    <font>
      <name val="Arial"/>
      <color rgb="00595959"/>
      <sz val="9"/>
    </font>
    <font>
      <name val="Arial"/>
      <b val="1"/>
      <color rgb="00595959"/>
      <sz val="8"/>
    </font>
    <font>
      <name val="Arial"/>
      <b val="1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indent="1"/>
    </xf>
    <xf numFmtId="0" fontId="7" fillId="6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 indent="1"/>
    </xf>
    <xf numFmtId="0" fontId="13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17" fillId="7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9" fillId="7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20" customWidth="1" min="4" max="4"/>
  </cols>
  <sheetData>
    <row r="1" ht="36" customHeight="1">
      <c r="B1" s="1" t="inlineStr">
        <is>
          <t>MOCK TRIAL MASTER FILE — INDEX &amp; COMPLETENESS TRACKER</t>
        </is>
      </c>
    </row>
    <row r="2" ht="18" customHeight="1">
      <c r="B2" s="2" t="inlineStr">
        <is>
          <t>CDISC TMF Reference Model v3.2 — Academic Portfolio Project</t>
        </is>
      </c>
    </row>
    <row r="3" ht="8" customHeight="1"/>
    <row r="4" ht="18" customHeight="1">
      <c r="B4" s="3" t="inlineStr">
        <is>
          <t>Trial Name</t>
        </is>
      </c>
      <c r="C4" s="4" t="inlineStr">
        <is>
          <t>NSABP B-47 / NRG Oncology Phase III Adjuvant Breast Cancer Trial</t>
        </is>
      </c>
    </row>
    <row r="5" ht="18" customHeight="1">
      <c r="B5" s="3" t="inlineStr">
        <is>
          <t>NCT Number</t>
        </is>
      </c>
      <c r="C5" s="5" t="inlineStr">
        <is>
          <t>NCT01275677</t>
        </is>
      </c>
    </row>
    <row r="6" ht="18" customHeight="1">
      <c r="B6" s="3" t="inlineStr">
        <is>
          <t>Sponsor</t>
        </is>
      </c>
      <c r="C6" s="5" t="inlineStr">
        <is>
          <t>National Cancer Institute (NCI) — IND #113988</t>
        </is>
      </c>
    </row>
    <row r="7" ht="18" customHeight="1">
      <c r="B7" s="3" t="inlineStr">
        <is>
          <t>Lead Group</t>
        </is>
      </c>
      <c r="C7" s="5" t="inlineStr">
        <is>
          <t>NRG Oncology (formerly NSABP)</t>
        </is>
      </c>
    </row>
    <row r="8" ht="18" customHeight="1">
      <c r="B8" s="3" t="inlineStr">
        <is>
          <t>Phase</t>
        </is>
      </c>
      <c r="C8" s="5" t="inlineStr">
        <is>
          <t>Phase III — Randomized, Open-Label, Multi-Center</t>
        </is>
      </c>
    </row>
    <row r="9" ht="18" customHeight="1">
      <c r="B9" s="3" t="inlineStr">
        <is>
          <t>Indication</t>
        </is>
      </c>
      <c r="C9" s="5" t="inlineStr">
        <is>
          <t>High-Risk Invasive Breast Cancer (HER2-low: IHC 1+ or 2+, non-amplified by FISH)</t>
        </is>
      </c>
    </row>
    <row r="10" ht="18" customHeight="1">
      <c r="B10" s="3" t="inlineStr">
        <is>
          <t>Intervention</t>
        </is>
      </c>
      <c r="C10" s="5" t="inlineStr">
        <is>
          <t>Adjuvant Chemotherapy ± Trastuzumab (1 year)</t>
        </is>
      </c>
    </row>
    <row r="11" ht="18" customHeight="1">
      <c r="B11" s="3" t="inlineStr">
        <is>
          <t>Primary Endpoint</t>
        </is>
      </c>
      <c r="C11" s="5" t="inlineStr">
        <is>
          <t>Invasive Disease-Free Survival (IDFS)</t>
        </is>
      </c>
    </row>
    <row r="12" ht="18" customHeight="1">
      <c r="B12" s="3" t="inlineStr">
        <is>
          <t>Enrolment</t>
        </is>
      </c>
      <c r="C12" s="5" t="inlineStr">
        <is>
          <t>3,270 patients enrolled across ~300 NCTN sites (US, Canada, Ireland, Australia)</t>
        </is>
      </c>
    </row>
    <row r="13" ht="18" customHeight="1">
      <c r="B13" s="3" t="inlineStr">
        <is>
          <t>Study Activation</t>
        </is>
      </c>
      <c r="C13" s="5" t="inlineStr">
        <is>
          <t>January 2011</t>
        </is>
      </c>
    </row>
    <row r="14" ht="18" customHeight="1">
      <c r="B14" s="3" t="inlineStr">
        <is>
          <t>Primary Results</t>
        </is>
      </c>
      <c r="C14" s="5" t="inlineStr">
        <is>
          <t>Published February 2020 — Journal of Clinical Oncology (DOI: 10.1200/JCO.19.01455)</t>
        </is>
      </c>
    </row>
    <row r="15" ht="18" customHeight="1">
      <c r="B15" s="3" t="inlineStr">
        <is>
          <t>Outcome</t>
        </is>
      </c>
      <c r="C15" s="5" t="inlineStr">
        <is>
          <t>Trastuzumab did NOT improve IDFS in HER2-low population (negative trial)</t>
        </is>
      </c>
    </row>
    <row r="16" ht="18" customHeight="1">
      <c r="B16" s="3" t="inlineStr">
        <is>
          <t>TMF RM Version</t>
        </is>
      </c>
      <c r="C16" s="5" t="inlineStr">
        <is>
          <t>CDISC TMF Reference Model v3.2.0 (released November 2020)</t>
        </is>
      </c>
    </row>
    <row r="17" ht="18" customHeight="1">
      <c r="B17" s="3" t="inlineStr">
        <is>
          <t>Project Author</t>
        </is>
      </c>
      <c r="C17" s="5" t="inlineStr">
        <is>
          <t>[Your Name] — Academic TMF Portfolio Project</t>
        </is>
      </c>
    </row>
    <row r="18" ht="18" customHeight="1">
      <c r="B18" s="3" t="inlineStr">
        <is>
          <t>Date Prepared</t>
        </is>
      </c>
      <c r="C18" s="5" t="inlineStr">
        <is>
          <t>June 2026</t>
        </is>
      </c>
    </row>
    <row r="19" ht="8" customHeight="1"/>
    <row r="20" ht="18" customHeight="1">
      <c r="B20" s="6" t="inlineStr">
        <is>
          <t>STATUS LEGEND</t>
        </is>
      </c>
    </row>
    <row r="21" ht="18" customHeight="1">
      <c r="B21" s="7" t="inlineStr">
        <is>
          <t>AVAILABLE</t>
        </is>
      </c>
      <c r="C21" s="8" t="inlineStr">
        <is>
          <t>Document publicly available and included in mock TMF</t>
        </is>
      </c>
    </row>
    <row r="22" ht="18" customHeight="1">
      <c r="B22" s="9" t="inlineStr">
        <is>
          <t>INFERRED</t>
        </is>
      </c>
      <c r="C22" s="8" t="inlineStr">
        <is>
          <t>Document exists but not publicly accessible — existence confirmed from published sources</t>
        </is>
      </c>
    </row>
    <row r="23" ht="18" customHeight="1">
      <c r="B23" s="10" t="inlineStr">
        <is>
          <t>NOT APPLICABLE</t>
        </is>
      </c>
      <c r="C23" s="8" t="inlineStr">
        <is>
          <t>Artifact not applicable for this trial design</t>
        </is>
      </c>
    </row>
    <row r="24" ht="18" customHeight="1">
      <c r="B24" s="11" t="inlineStr">
        <is>
          <t>MISSING / GAP</t>
        </is>
      </c>
      <c r="C24" s="8" t="inlineStr">
        <is>
          <t>Core artifact with no public source identified — inspection gap</t>
        </is>
      </c>
    </row>
    <row r="25" ht="8" customHeight="1"/>
    <row r="26" ht="18" customHeight="1">
      <c r="B26" s="6" t="inlineStr">
        <is>
          <t>METHODOLOGY NOTE</t>
        </is>
      </c>
    </row>
    <row r="27" ht="22" customHeight="1">
      <c r="B27" s="12" t="inlineStr">
        <is>
          <t>• This project simulates a TMF index and inspection-readiness assessment for a completed, publicly documented Phase III trial.</t>
        </is>
      </c>
    </row>
    <row r="28" ht="22" customHeight="1">
      <c r="B28" s="12" t="inlineStr">
        <is>
          <t>• All artifact assessments are based solely on public sources: ClinicalTrials.gov, FDA databases, and the published primary results paper.</t>
        </is>
      </c>
    </row>
    <row r="29" ht="22" customHeight="1">
      <c r="B29" s="12" t="inlineStr">
        <is>
          <t>• The filing structure follows the CDISC TMF Reference Model v3.2 zone/section/artifact hierarchy.</t>
        </is>
      </c>
    </row>
    <row r="30" ht="22" customHeight="1">
      <c r="B30" s="12" t="inlineStr">
        <is>
          <t>• Core artifacts are those required by ICH E6(R2) Section 8 whenever created. Their absence constitutes an inspection gap.</t>
        </is>
      </c>
    </row>
    <row r="31" ht="22" customHeight="1">
      <c r="B31" s="12" t="inlineStr">
        <is>
          <t>• This is an academic exercise. No proprietary or confidential data has been used.</t>
        </is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43">
    <mergeCell ref="C6:D6"/>
    <mergeCell ref="B9"/>
    <mergeCell ref="C24:D24"/>
    <mergeCell ref="C15:D15"/>
    <mergeCell ref="B1:D1"/>
    <mergeCell ref="B15"/>
    <mergeCell ref="C5:D5"/>
    <mergeCell ref="B6"/>
    <mergeCell ref="C14:D14"/>
    <mergeCell ref="B29:D29"/>
    <mergeCell ref="B5"/>
    <mergeCell ref="C4:D4"/>
    <mergeCell ref="B28:D28"/>
    <mergeCell ref="B4"/>
    <mergeCell ref="C10:D10"/>
    <mergeCell ref="C16:D16"/>
    <mergeCell ref="B7"/>
    <mergeCell ref="B16"/>
    <mergeCell ref="C22:D22"/>
    <mergeCell ref="B30:D30"/>
    <mergeCell ref="C9:D9"/>
    <mergeCell ref="B20:D20"/>
    <mergeCell ref="C12:D12"/>
    <mergeCell ref="B12"/>
    <mergeCell ref="B18"/>
    <mergeCell ref="C21:D21"/>
    <mergeCell ref="C11:D11"/>
    <mergeCell ref="B11"/>
    <mergeCell ref="B26:D26"/>
    <mergeCell ref="B14"/>
    <mergeCell ref="C17:D17"/>
    <mergeCell ref="C23:D23"/>
    <mergeCell ref="C8:D8"/>
    <mergeCell ref="B8"/>
    <mergeCell ref="B17"/>
    <mergeCell ref="C7:D7"/>
    <mergeCell ref="B13"/>
    <mergeCell ref="B31:D31"/>
    <mergeCell ref="B27:D27"/>
    <mergeCell ref="B10"/>
    <mergeCell ref="C13:D13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8" customWidth="1" min="4" max="4"/>
    <col width="42" customWidth="1" min="5" max="5"/>
    <col width="16" customWidth="1" min="6" max="6"/>
    <col width="16" customWidth="1" min="7" max="7"/>
    <col width="30" customWidth="1" min="8" max="8"/>
    <col width="14" customWidth="1" min="9" max="9"/>
  </cols>
  <sheetData>
    <row r="1" ht="30" customHeight="1">
      <c r="A1" s="13" t="inlineStr"/>
      <c r="B1" s="13" t="inlineStr">
        <is>
          <t>Zone / Artifact #</t>
        </is>
      </c>
      <c r="C1" s="13" t="inlineStr">
        <is>
          <t>Zone / Section / Artifact Name</t>
        </is>
      </c>
      <c r="D1" s="13" t="inlineStr">
        <is>
          <t>Core /
Recom.</t>
        </is>
      </c>
      <c r="E1" s="13" t="inlineStr">
        <is>
          <t>Definition / Purpose (Summary)</t>
        </is>
      </c>
      <c r="F1" s="13" t="inlineStr">
        <is>
          <t>Filing Level
(Trial/Country/Site)</t>
        </is>
      </c>
      <c r="G1" s="13" t="inlineStr">
        <is>
          <t>Sponsor /
Investigator</t>
        </is>
      </c>
      <c r="H1" s="13" t="inlineStr">
        <is>
          <t>Source Document (Public)</t>
        </is>
      </c>
      <c r="I1" s="13" t="inlineStr">
        <is>
          <t>Status</t>
        </is>
      </c>
    </row>
    <row r="2" ht="20" customHeight="1">
      <c r="B2" s="14" t="inlineStr">
        <is>
          <t>ZONE 01: TRIAL MANAGEMENT</t>
        </is>
      </c>
    </row>
    <row r="3" ht="28" customHeight="1">
      <c r="A3" s="15" t="inlineStr"/>
      <c r="B3" s="16" t="inlineStr">
        <is>
          <t>01.01</t>
        </is>
      </c>
      <c r="C3" s="17" t="inlineStr">
        <is>
          <t xml:space="preserve">  Trial Oversight</t>
        </is>
      </c>
      <c r="D3" s="16" t="inlineStr"/>
      <c r="E3" s="17" t="inlineStr"/>
      <c r="F3" s="16" t="inlineStr"/>
      <c r="G3" s="16" t="inlineStr"/>
      <c r="H3" s="17" t="inlineStr"/>
      <c r="I3" s="16" t="inlineStr"/>
    </row>
    <row r="4" ht="42" customHeight="1">
      <c r="A4" s="15" t="inlineStr"/>
      <c r="B4" s="15" t="inlineStr">
        <is>
          <t>01.01.01</t>
        </is>
      </c>
      <c r="C4" s="18" t="inlineStr">
        <is>
          <t>Trial Master File Plan</t>
        </is>
      </c>
      <c r="D4" s="15" t="inlineStr">
        <is>
          <t>Recommended</t>
        </is>
      </c>
      <c r="E4" s="18" t="inlineStr">
        <is>
          <t>Describes how records will be managed and stored during/after the trial. Includes filing structure and chain of custody.</t>
        </is>
      </c>
      <c r="F4" s="15" t="inlineStr">
        <is>
          <t>Trial</t>
        </is>
      </c>
      <c r="G4" s="15" t="inlineStr">
        <is>
          <t>Sponsor</t>
        </is>
      </c>
      <c r="H4" s="18" t="inlineStr">
        <is>
          <t>ClinicalTrials.gov record (NCT01275677) — filing structure referenced in protocol</t>
        </is>
      </c>
      <c r="I4" s="19" t="inlineStr">
        <is>
          <t>INFERRED</t>
        </is>
      </c>
    </row>
    <row r="5" ht="42" customHeight="1">
      <c r="A5" s="15" t="inlineStr"/>
      <c r="B5" s="15" t="inlineStr">
        <is>
          <t>01.01.02</t>
        </is>
      </c>
      <c r="C5" s="18" t="inlineStr">
        <is>
          <t>Trial Management Plan</t>
        </is>
      </c>
      <c r="D5" s="15" t="inlineStr">
        <is>
          <t>Recommended</t>
        </is>
      </c>
      <c r="E5" s="18" t="inlineStr">
        <is>
          <t>Overall strategy for timelines, management and conduct. B-47 managed via CTSU (Cancer Trials Support Unit) under NCI.</t>
        </is>
      </c>
      <c r="F5" s="15" t="inlineStr">
        <is>
          <t>Trial</t>
        </is>
      </c>
      <c r="G5" s="15" t="inlineStr">
        <is>
          <t>Sponsor</t>
        </is>
      </c>
      <c r="H5" s="18" t="inlineStr">
        <is>
          <t>ASCO abstract 2013 (B-47 accrual update); NRG Oncology CTSU infrastructure</t>
        </is>
      </c>
      <c r="I5" s="19" t="inlineStr">
        <is>
          <t>INFERRED</t>
        </is>
      </c>
    </row>
    <row r="6" ht="42" customHeight="1">
      <c r="A6" s="15" t="inlineStr"/>
      <c r="B6" s="15" t="inlineStr">
        <is>
          <t>01.01.03</t>
        </is>
      </c>
      <c r="C6" s="18" t="inlineStr">
        <is>
          <t>Quality Plan</t>
        </is>
      </c>
      <c r="D6" s="15" t="inlineStr">
        <is>
          <t>Recommended</t>
        </is>
      </c>
      <c r="E6" s="18" t="inlineStr">
        <is>
          <t>Operational techniques to verify quality requirements. NCI cooperative group trials operate under NCI Quality Assurance program.</t>
        </is>
      </c>
      <c r="F6" s="15" t="inlineStr">
        <is>
          <t>Trial</t>
        </is>
      </c>
      <c r="G6" s="15" t="inlineStr">
        <is>
          <t>Sponsor</t>
        </is>
      </c>
      <c r="H6" s="18" t="inlineStr">
        <is>
          <t>NCI NCTN quality assurance framework (public)</t>
        </is>
      </c>
      <c r="I6" s="19" t="inlineStr">
        <is>
          <t>INFERRED</t>
        </is>
      </c>
    </row>
    <row r="7" ht="42" customHeight="1">
      <c r="A7" s="15" t="inlineStr"/>
      <c r="B7" s="15" t="inlineStr">
        <is>
          <t>01.01.04</t>
        </is>
      </c>
      <c r="C7" s="18" t="inlineStr">
        <is>
          <t>List of SOPs Current During Trial</t>
        </is>
      </c>
      <c r="D7" s="15" t="inlineStr">
        <is>
          <t>Core</t>
        </is>
      </c>
      <c r="E7" s="18" t="inlineStr">
        <is>
          <t>Documents which SOPs were in effect for the trial duration. NRG Oncology publishes procedural frameworks.</t>
        </is>
      </c>
      <c r="F7" s="15" t="inlineStr">
        <is>
          <t>Trial</t>
        </is>
      </c>
      <c r="G7" s="15" t="inlineStr">
        <is>
          <t>Sponsor</t>
        </is>
      </c>
      <c r="H7" s="18" t="inlineStr">
        <is>
          <t>NRG Oncology operational SOPs (referenced in protocol p.1)</t>
        </is>
      </c>
      <c r="I7" s="19" t="inlineStr">
        <is>
          <t>INFERRED</t>
        </is>
      </c>
    </row>
    <row r="8" ht="28" customHeight="1">
      <c r="A8" s="15" t="inlineStr"/>
      <c r="B8" s="15" t="inlineStr">
        <is>
          <t>01.01.06</t>
        </is>
      </c>
      <c r="C8" s="18" t="inlineStr">
        <is>
          <t>Protocol Deviation Management Plan</t>
        </is>
      </c>
      <c r="D8" s="15" t="inlineStr">
        <is>
          <t>Recommended</t>
        </is>
      </c>
      <c r="E8" s="18" t="inlineStr">
        <is>
          <t>How protocol deviations are captured, reviewed and reported.</t>
        </is>
      </c>
      <c r="F8" s="15" t="inlineStr">
        <is>
          <t>Trial</t>
        </is>
      </c>
      <c r="G8" s="15" t="inlineStr">
        <is>
          <t>Sponsor</t>
        </is>
      </c>
      <c r="H8" s="18" t="inlineStr">
        <is>
          <t>Referenced in B-47 protocol — deviation reporting section</t>
        </is>
      </c>
      <c r="I8" s="19" t="inlineStr">
        <is>
          <t>INFERRED</t>
        </is>
      </c>
    </row>
    <row r="9" ht="28" customHeight="1">
      <c r="A9" s="15" t="inlineStr"/>
      <c r="B9" s="16" t="inlineStr">
        <is>
          <t>01.02</t>
        </is>
      </c>
      <c r="C9" s="17" t="inlineStr">
        <is>
          <t xml:space="preserve">  Trial Team</t>
        </is>
      </c>
      <c r="D9" s="16" t="inlineStr"/>
      <c r="E9" s="17" t="inlineStr"/>
      <c r="F9" s="16" t="inlineStr"/>
      <c r="G9" s="16" t="inlineStr"/>
      <c r="H9" s="17" t="inlineStr"/>
      <c r="I9" s="16" t="inlineStr"/>
    </row>
    <row r="10" ht="28" customHeight="1">
      <c r="A10" s="15" t="inlineStr"/>
      <c r="B10" s="15" t="inlineStr">
        <is>
          <t>01.02.01</t>
        </is>
      </c>
      <c r="C10" s="18" t="inlineStr">
        <is>
          <t>Delegation of Authority Log</t>
        </is>
      </c>
      <c r="D10" s="15" t="inlineStr">
        <is>
          <t>Core</t>
        </is>
      </c>
      <c r="E10" s="18" t="inlineStr">
        <is>
          <t>Documents tasks delegated to trial team members at each site.</t>
        </is>
      </c>
      <c r="F10" s="15" t="inlineStr">
        <is>
          <t>Site</t>
        </is>
      </c>
      <c r="G10" s="15" t="inlineStr">
        <is>
          <t>Sponsor/Inv.</t>
        </is>
      </c>
      <c r="H10" s="18" t="inlineStr">
        <is>
          <t>Required per ICH E6(R2) 8.3.17 — not publicly available for individual sites</t>
        </is>
      </c>
      <c r="I10" s="20" t="inlineStr">
        <is>
          <t>MISSING / GAP</t>
        </is>
      </c>
    </row>
    <row r="11" ht="28" customHeight="1">
      <c r="A11" s="15" t="inlineStr"/>
      <c r="B11" s="15" t="inlineStr">
        <is>
          <t>01.02.02</t>
        </is>
      </c>
      <c r="C11" s="18" t="inlineStr">
        <is>
          <t>Curriculum Vitae — Investigators</t>
        </is>
      </c>
      <c r="D11" s="15" t="inlineStr">
        <is>
          <t>Core</t>
        </is>
      </c>
      <c r="E11" s="18" t="inlineStr">
        <is>
          <t>CVs for Principal Investigator and Sub-investigators at each site.</t>
        </is>
      </c>
      <c r="F11" s="15" t="inlineStr">
        <is>
          <t>Site</t>
        </is>
      </c>
      <c r="G11" s="15" t="inlineStr">
        <is>
          <t>Sponsor/Inv.</t>
        </is>
      </c>
      <c r="H11" s="18" t="inlineStr">
        <is>
          <t>Protocol Chair: Louis Fehrenbacher MD; Protocol Officer: Priya Rastogi MD — CVs not public</t>
        </is>
      </c>
      <c r="I11" s="20" t="inlineStr">
        <is>
          <t>MISSING / GAP</t>
        </is>
      </c>
    </row>
    <row r="12" ht="28" customHeight="1">
      <c r="A12" s="15" t="inlineStr"/>
      <c r="B12" s="15" t="inlineStr">
        <is>
          <t>01.02.03</t>
        </is>
      </c>
      <c r="C12" s="18" t="inlineStr">
        <is>
          <t>Medical Licensure — Investigators</t>
        </is>
      </c>
      <c r="D12" s="15" t="inlineStr">
        <is>
          <t>Core</t>
        </is>
      </c>
      <c r="E12" s="18" t="inlineStr">
        <is>
          <t>Current medical license for each investigator.</t>
        </is>
      </c>
      <c r="F12" s="15" t="inlineStr">
        <is>
          <t>Site</t>
        </is>
      </c>
      <c r="G12" s="15" t="inlineStr">
        <is>
          <t>Investigator</t>
        </is>
      </c>
      <c r="H12" s="18" t="inlineStr">
        <is>
          <t>Not publicly available — site-specific</t>
        </is>
      </c>
      <c r="I12" s="20" t="inlineStr">
        <is>
          <t>MISSING / GAP</t>
        </is>
      </c>
    </row>
    <row r="13" ht="28" customHeight="1">
      <c r="A13" s="15" t="inlineStr"/>
      <c r="B13" s="15" t="inlineStr">
        <is>
          <t>01.02.04</t>
        </is>
      </c>
      <c r="C13" s="18" t="inlineStr">
        <is>
          <t>Training Records</t>
        </is>
      </c>
      <c r="D13" s="15" t="inlineStr">
        <is>
          <t>Core</t>
        </is>
      </c>
      <c r="E13" s="18" t="inlineStr">
        <is>
          <t>GCP and protocol-specific training documentation for all staff.</t>
        </is>
      </c>
      <c r="F13" s="15" t="inlineStr">
        <is>
          <t>Site</t>
        </is>
      </c>
      <c r="G13" s="15" t="inlineStr">
        <is>
          <t>Sponsor/Inv.</t>
        </is>
      </c>
      <c r="H13" s="18" t="inlineStr">
        <is>
          <t>Required for ~300 NCTN sites — not publicly available</t>
        </is>
      </c>
      <c r="I13" s="20" t="inlineStr">
        <is>
          <t>MISSING / GAP</t>
        </is>
      </c>
    </row>
    <row r="14" ht="28" customHeight="1">
      <c r="A14" s="15" t="inlineStr"/>
      <c r="B14" s="16" t="inlineStr">
        <is>
          <t>01.03</t>
        </is>
      </c>
      <c r="C14" s="17" t="inlineStr">
        <is>
          <t xml:space="preserve">  Central Trial Documentation</t>
        </is>
      </c>
      <c r="D14" s="16" t="inlineStr"/>
      <c r="E14" s="17" t="inlineStr"/>
      <c r="F14" s="16" t="inlineStr"/>
      <c r="G14" s="16" t="inlineStr"/>
      <c r="H14" s="17" t="inlineStr"/>
      <c r="I14" s="16" t="inlineStr"/>
    </row>
    <row r="15" ht="42" customHeight="1">
      <c r="A15" s="15" t="inlineStr"/>
      <c r="B15" s="15" t="inlineStr">
        <is>
          <t>01.03.01</t>
        </is>
      </c>
      <c r="C15" s="18" t="inlineStr">
        <is>
          <t>Trial Registration</t>
        </is>
      </c>
      <c r="D15" s="15" t="inlineStr">
        <is>
          <t>Core</t>
        </is>
      </c>
      <c r="E15" s="18" t="inlineStr">
        <is>
          <t>Registration on a publicly accessible clinical trial registry prior to first patient enrollment.</t>
        </is>
      </c>
      <c r="F15" s="15" t="inlineStr">
        <is>
          <t>Trial</t>
        </is>
      </c>
      <c r="G15" s="15" t="inlineStr">
        <is>
          <t>Sponsor</t>
        </is>
      </c>
      <c r="H15" s="18" t="inlineStr">
        <is>
          <t>ClinicalTrials.gov NCT01275677 — registered January 2011</t>
        </is>
      </c>
      <c r="I15" s="21" t="inlineStr">
        <is>
          <t>AVAILABLE</t>
        </is>
      </c>
    </row>
    <row r="16" ht="20" customHeight="1">
      <c r="B16" s="14" t="inlineStr">
        <is>
          <t>ZONE 02: CENTRAL TRIAL DOCUMENTS</t>
        </is>
      </c>
    </row>
    <row r="17" ht="28" customHeight="1">
      <c r="A17" s="15" t="inlineStr"/>
      <c r="B17" s="16" t="inlineStr">
        <is>
          <t>02.01</t>
        </is>
      </c>
      <c r="C17" s="17" t="inlineStr">
        <is>
          <t xml:space="preserve">  Product and Trial Documentation</t>
        </is>
      </c>
      <c r="D17" s="16" t="inlineStr"/>
      <c r="E17" s="17" t="inlineStr"/>
      <c r="F17" s="16" t="inlineStr"/>
      <c r="G17" s="16" t="inlineStr"/>
      <c r="H17" s="17" t="inlineStr"/>
      <c r="I17" s="16" t="inlineStr"/>
    </row>
    <row r="18" ht="42" customHeight="1">
      <c r="A18" s="15" t="inlineStr"/>
      <c r="B18" s="15" t="inlineStr">
        <is>
          <t>02.01.01</t>
        </is>
      </c>
      <c r="C18" s="18" t="inlineStr">
        <is>
          <t>Investigator's Brochure</t>
        </is>
      </c>
      <c r="D18" s="15" t="inlineStr">
        <is>
          <t>Core</t>
        </is>
      </c>
      <c r="E18" s="18" t="inlineStr">
        <is>
          <t>Compilation of clinical and non-clinical data on trastuzumab (Herceptin) relevant to the study in human subjects.</t>
        </is>
      </c>
      <c r="F18" s="15" t="inlineStr">
        <is>
          <t>Trial</t>
        </is>
      </c>
      <c r="G18" s="15" t="inlineStr">
        <is>
          <t>Sponsor</t>
        </is>
      </c>
      <c r="H18" s="18" t="inlineStr">
        <is>
          <t>Trastuzumab (Herceptin) IB — maintained by Genentech/Roche; supplied via NCI. Not publicly available as trial-specific version.</t>
        </is>
      </c>
      <c r="I18" s="19" t="inlineStr">
        <is>
          <t>INFERRED</t>
        </is>
      </c>
    </row>
    <row r="19" ht="42" customHeight="1">
      <c r="A19" s="15" t="inlineStr"/>
      <c r="B19" s="15" t="inlineStr">
        <is>
          <t>02.01.02</t>
        </is>
      </c>
      <c r="C19" s="18" t="inlineStr">
        <is>
          <t>Protocol</t>
        </is>
      </c>
      <c r="D19" s="15" t="inlineStr">
        <is>
          <t>Core</t>
        </is>
      </c>
      <c r="E19" s="18" t="inlineStr">
        <is>
          <t>Full study protocol including background, objectives, design, eligibility, interventions, endpoints, and statistical plan.</t>
        </is>
      </c>
      <c r="F19" s="15" t="inlineStr">
        <is>
          <t>Trial</t>
        </is>
      </c>
      <c r="G19" s="15" t="inlineStr">
        <is>
          <t>Sponsor</t>
        </is>
      </c>
      <c r="H19" s="18" t="inlineStr">
        <is>
          <t>Full protocol publicly available at ClinicalTrials.gov: cdn.clinicaltrials.gov/large-docs/77/NCT01275677/Prot_SAP_000.pdf</t>
        </is>
      </c>
      <c r="I19" s="21" t="inlineStr">
        <is>
          <t>AVAILABLE</t>
        </is>
      </c>
    </row>
    <row r="20" ht="42" customHeight="1">
      <c r="A20" s="15" t="inlineStr"/>
      <c r="B20" s="15" t="inlineStr">
        <is>
          <t>02.01.04</t>
        </is>
      </c>
      <c r="C20" s="18" t="inlineStr">
        <is>
          <t>Protocol Amendment(s)</t>
        </is>
      </c>
      <c r="D20" s="15" t="inlineStr">
        <is>
          <t>Core</t>
        </is>
      </c>
      <c r="E20" s="18" t="inlineStr">
        <is>
          <t>Any amendments to the original protocol. B-47 protocol version date Feb 8, 2018 confirms amendments were issued.</t>
        </is>
      </c>
      <c r="F20" s="15" t="inlineStr">
        <is>
          <t>Trial</t>
        </is>
      </c>
      <c r="G20" s="15" t="inlineStr">
        <is>
          <t>Sponsor</t>
        </is>
      </c>
      <c r="H20" s="18" t="inlineStr">
        <is>
          <t>Protocol PDF (NCI Version Date: February 8, 2018, replaces all other versions) — amendments embedded in document</t>
        </is>
      </c>
      <c r="I20" s="21" t="inlineStr">
        <is>
          <t>AVAILABLE</t>
        </is>
      </c>
    </row>
    <row r="21" ht="42" customHeight="1">
      <c r="A21" s="15" t="inlineStr"/>
      <c r="B21" s="15" t="inlineStr">
        <is>
          <t>02.01.05</t>
        </is>
      </c>
      <c r="C21" s="18" t="inlineStr">
        <is>
          <t>Financial Disclosure Summary</t>
        </is>
      </c>
      <c r="D21" s="15" t="inlineStr">
        <is>
          <t>Recommended</t>
        </is>
      </c>
      <c r="E21" s="18" t="inlineStr">
        <is>
          <t>Disclosure of financial interests of clinical investigators per FDA 21 CFR Part 54.</t>
        </is>
      </c>
      <c r="F21" s="15" t="inlineStr">
        <is>
          <t>Trial</t>
        </is>
      </c>
      <c r="G21" s="15" t="inlineStr">
        <is>
          <t>Sponsor</t>
        </is>
      </c>
      <c r="H21" s="18" t="inlineStr">
        <is>
          <t>Not publicly available — submitted to FDA as part of IND</t>
        </is>
      </c>
      <c r="I21" s="20" t="inlineStr">
        <is>
          <t>MISSING / GAP</t>
        </is>
      </c>
    </row>
    <row r="22" ht="28" customHeight="1">
      <c r="A22" s="15" t="inlineStr"/>
      <c r="B22" s="16" t="inlineStr">
        <is>
          <t>02.02</t>
        </is>
      </c>
      <c r="C22" s="17" t="inlineStr">
        <is>
          <t xml:space="preserve">  Subject Documentation</t>
        </is>
      </c>
      <c r="D22" s="16" t="inlineStr"/>
      <c r="E22" s="17" t="inlineStr"/>
      <c r="F22" s="16" t="inlineStr"/>
      <c r="G22" s="16" t="inlineStr"/>
      <c r="H22" s="17" t="inlineStr"/>
      <c r="I22" s="16" t="inlineStr"/>
    </row>
    <row r="23" ht="42" customHeight="1">
      <c r="A23" s="15" t="inlineStr"/>
      <c r="B23" s="15" t="inlineStr">
        <is>
          <t>02.02.01</t>
        </is>
      </c>
      <c r="C23" s="18" t="inlineStr">
        <is>
          <t>Informed Consent Form (ICF)</t>
        </is>
      </c>
      <c r="D23" s="15" t="inlineStr">
        <is>
          <t>Core</t>
        </is>
      </c>
      <c r="E23" s="18" t="inlineStr">
        <is>
          <t>Template ICF used to obtain subject consent. Must reflect protocol version and IRB approval.</t>
        </is>
      </c>
      <c r="F23" s="15" t="inlineStr">
        <is>
          <t>Trial/Site</t>
        </is>
      </c>
      <c r="G23" s="15" t="inlineStr">
        <is>
          <t>Sponsor/Inv.</t>
        </is>
      </c>
      <c r="H23" s="18" t="inlineStr">
        <is>
          <t>Referenced extensively in B-47 protocol; template not publicly posted but existence confirmed</t>
        </is>
      </c>
      <c r="I23" s="19" t="inlineStr">
        <is>
          <t>INFERRED</t>
        </is>
      </c>
    </row>
    <row r="24" ht="28" customHeight="1">
      <c r="A24" s="15" t="inlineStr"/>
      <c r="B24" s="15" t="inlineStr">
        <is>
          <t>02.02.02</t>
        </is>
      </c>
      <c r="C24" s="18" t="inlineStr">
        <is>
          <t>Subject Information Sheet</t>
        </is>
      </c>
      <c r="D24" s="15" t="inlineStr">
        <is>
          <t>Core</t>
        </is>
      </c>
      <c r="E24" s="18" t="inlineStr">
        <is>
          <t>Written information provided to trial participants about the study.</t>
        </is>
      </c>
      <c r="F24" s="15" t="inlineStr">
        <is>
          <t>Trial/Site</t>
        </is>
      </c>
      <c r="G24" s="15" t="inlineStr">
        <is>
          <t>Sponsor/Inv.</t>
        </is>
      </c>
      <c r="H24" s="18" t="inlineStr">
        <is>
          <t>Included within ICF package — not separately available</t>
        </is>
      </c>
      <c r="I24" s="19" t="inlineStr">
        <is>
          <t>INFERRED</t>
        </is>
      </c>
    </row>
    <row r="25" ht="42" customHeight="1">
      <c r="A25" s="15" t="inlineStr"/>
      <c r="B25" s="15" t="inlineStr">
        <is>
          <t>02.02.04</t>
        </is>
      </c>
      <c r="C25" s="18" t="inlineStr">
        <is>
          <t>Sample Case Report Form (CRF)</t>
        </is>
      </c>
      <c r="D25" s="15" t="inlineStr">
        <is>
          <t>Core</t>
        </is>
      </c>
      <c r="E25" s="18" t="inlineStr">
        <is>
          <t>Blank/sample CRF showing data collection fields. NCTN trials use electronic data capture.</t>
        </is>
      </c>
      <c r="F25" s="15" t="inlineStr">
        <is>
          <t>Trial</t>
        </is>
      </c>
      <c r="G25" s="15" t="inlineStr">
        <is>
          <t>Sponsor</t>
        </is>
      </c>
      <c r="H25" s="18" t="inlineStr">
        <is>
          <t>Electronic CRF managed via CTSU/RAVE EDC — sample not publicly available</t>
        </is>
      </c>
      <c r="I25" s="19" t="inlineStr">
        <is>
          <t>INFERRED</t>
        </is>
      </c>
    </row>
    <row r="26" ht="28" customHeight="1">
      <c r="A26" s="15" t="inlineStr"/>
      <c r="B26" s="16" t="inlineStr">
        <is>
          <t>02.03</t>
        </is>
      </c>
      <c r="C26" s="17" t="inlineStr">
        <is>
          <t xml:space="preserve">  Clinical Study Report</t>
        </is>
      </c>
      <c r="D26" s="16" t="inlineStr"/>
      <c r="E26" s="17" t="inlineStr"/>
      <c r="F26" s="16" t="inlineStr"/>
      <c r="G26" s="16" t="inlineStr"/>
      <c r="H26" s="17" t="inlineStr"/>
      <c r="I26" s="16" t="inlineStr"/>
    </row>
    <row r="27" ht="28" customHeight="1">
      <c r="A27" s="15" t="inlineStr"/>
      <c r="B27" s="15" t="inlineStr">
        <is>
          <t>02.03.01</t>
        </is>
      </c>
      <c r="C27" s="18" t="inlineStr">
        <is>
          <t>Clinical Study Report (CSR)</t>
        </is>
      </c>
      <c r="D27" s="15" t="inlineStr">
        <is>
          <t>Core</t>
        </is>
      </c>
      <c r="E27" s="18" t="inlineStr">
        <is>
          <t>Comprehensive report of trial methods, results, and analysis per ICH E3.</t>
        </is>
      </c>
      <c r="F27" s="15" t="inlineStr">
        <is>
          <t>Trial</t>
        </is>
      </c>
      <c r="G27" s="15" t="inlineStr">
        <is>
          <t>Sponsor</t>
        </is>
      </c>
      <c r="H27" s="18" t="inlineStr">
        <is>
          <t>Primary results published: Rastogi et al., J Clin Oncol 2020;38(5):444-453. Full CSR not public (NCI IND file).</t>
        </is>
      </c>
      <c r="I27" s="21" t="inlineStr">
        <is>
          <t>AVAILABLE</t>
        </is>
      </c>
    </row>
    <row r="28" ht="20" customHeight="1">
      <c r="B28" s="14" t="inlineStr">
        <is>
          <t>ZONE 03: REGULATORY</t>
        </is>
      </c>
    </row>
    <row r="29" ht="28" customHeight="1">
      <c r="A29" s="15" t="inlineStr"/>
      <c r="B29" s="16" t="inlineStr">
        <is>
          <t>03.01</t>
        </is>
      </c>
      <c r="C29" s="17" t="inlineStr">
        <is>
          <t xml:space="preserve">  Regulatory Submissions and Approvals</t>
        </is>
      </c>
      <c r="D29" s="16" t="inlineStr"/>
      <c r="E29" s="17" t="inlineStr"/>
      <c r="F29" s="16" t="inlineStr"/>
      <c r="G29" s="16" t="inlineStr"/>
      <c r="H29" s="17" t="inlineStr"/>
      <c r="I29" s="16" t="inlineStr"/>
    </row>
    <row r="30" ht="42" customHeight="1">
      <c r="A30" s="15" t="inlineStr"/>
      <c r="B30" s="15" t="inlineStr">
        <is>
          <t>03.01.01</t>
        </is>
      </c>
      <c r="C30" s="18" t="inlineStr">
        <is>
          <t>IND Application / CTA</t>
        </is>
      </c>
      <c r="D30" s="15" t="inlineStr">
        <is>
          <t>Core</t>
        </is>
      </c>
      <c r="E30" s="18" t="inlineStr">
        <is>
          <t>Investigational New Drug application for trastuzumab in this indication. IND #113988 held by NCI.</t>
        </is>
      </c>
      <c r="F30" s="15" t="inlineStr">
        <is>
          <t>Trial</t>
        </is>
      </c>
      <c r="G30" s="15" t="inlineStr">
        <is>
          <t>Sponsor</t>
        </is>
      </c>
      <c r="H30" s="18" t="inlineStr">
        <is>
          <t>IND #113988 (trastuzumab) — confirmed in protocol cover page. IND content not publicly available.</t>
        </is>
      </c>
      <c r="I30" s="19" t="inlineStr">
        <is>
          <t>INFERRED</t>
        </is>
      </c>
    </row>
    <row r="31" ht="28" customHeight="1">
      <c r="A31" s="15" t="inlineStr"/>
      <c r="B31" s="15" t="inlineStr">
        <is>
          <t>03.01.02</t>
        </is>
      </c>
      <c r="C31" s="18" t="inlineStr">
        <is>
          <t>IND Safety Updates / Annual Reports</t>
        </is>
      </c>
      <c r="D31" s="15" t="inlineStr">
        <is>
          <t>Core</t>
        </is>
      </c>
      <c r="E31" s="18" t="inlineStr">
        <is>
          <t>Annual IND progress reports submitted to FDA for active INDs.</t>
        </is>
      </c>
      <c r="F31" s="15" t="inlineStr">
        <is>
          <t>Trial</t>
        </is>
      </c>
      <c r="G31" s="15" t="inlineStr">
        <is>
          <t>Sponsor</t>
        </is>
      </c>
      <c r="H31" s="18" t="inlineStr">
        <is>
          <t>Required annually per 21 CFR 312.33 — submitted to FDA, not public</t>
        </is>
      </c>
      <c r="I31" s="19" t="inlineStr">
        <is>
          <t>INFERRED</t>
        </is>
      </c>
    </row>
    <row r="32" ht="42" customHeight="1">
      <c r="A32" s="15" t="inlineStr"/>
      <c r="B32" s="15" t="inlineStr">
        <is>
          <t>03.01.03</t>
        </is>
      </c>
      <c r="C32" s="18" t="inlineStr">
        <is>
          <t>Regulatory Authority Correspondence</t>
        </is>
      </c>
      <c r="D32" s="15" t="inlineStr">
        <is>
          <t>Core</t>
        </is>
      </c>
      <c r="E32" s="18" t="inlineStr">
        <is>
          <t>All written communication with FDA (and international agencies where applicable).</t>
        </is>
      </c>
      <c r="F32" s="15" t="inlineStr">
        <is>
          <t>Trial</t>
        </is>
      </c>
      <c r="G32" s="15" t="inlineStr">
        <is>
          <t>Sponsor</t>
        </is>
      </c>
      <c r="H32" s="18" t="inlineStr">
        <is>
          <t>FDA IND correspondence — not publicly available</t>
        </is>
      </c>
      <c r="I32" s="20" t="inlineStr">
        <is>
          <t>MISSING / GAP</t>
        </is>
      </c>
    </row>
    <row r="33" ht="28" customHeight="1">
      <c r="A33" s="15" t="inlineStr"/>
      <c r="B33" s="16" t="inlineStr">
        <is>
          <t>03.02</t>
        </is>
      </c>
      <c r="C33" s="17" t="inlineStr">
        <is>
          <t xml:space="preserve">  Regulatory Notifications</t>
        </is>
      </c>
      <c r="D33" s="16" t="inlineStr"/>
      <c r="E33" s="17" t="inlineStr"/>
      <c r="F33" s="16" t="inlineStr"/>
      <c r="G33" s="16" t="inlineStr"/>
      <c r="H33" s="17" t="inlineStr"/>
      <c r="I33" s="16" t="inlineStr"/>
    </row>
    <row r="34" ht="42" customHeight="1">
      <c r="A34" s="15" t="inlineStr"/>
      <c r="B34" s="15" t="inlineStr">
        <is>
          <t>03.02.01</t>
        </is>
      </c>
      <c r="C34" s="18" t="inlineStr">
        <is>
          <t>IND Safety Reports (IND Safety Reports to FDA)</t>
        </is>
      </c>
      <c r="D34" s="15" t="inlineStr">
        <is>
          <t>Core</t>
        </is>
      </c>
      <c r="E34" s="18" t="inlineStr">
        <is>
          <t>Expedited reports of unexpected serious adverse drug reactions (SUSARs) submitted to FDA.</t>
        </is>
      </c>
      <c r="F34" s="15" t="inlineStr">
        <is>
          <t>Trial</t>
        </is>
      </c>
      <c r="G34" s="15" t="inlineStr">
        <is>
          <t>Sponsor</t>
        </is>
      </c>
      <c r="H34" s="18" t="inlineStr">
        <is>
          <t>Required per 21 CFR 312.32 — submitted to FDA, not public</t>
        </is>
      </c>
      <c r="I34" s="19" t="inlineStr">
        <is>
          <t>INFERRED</t>
        </is>
      </c>
    </row>
    <row r="35" ht="20" customHeight="1">
      <c r="B35" s="14" t="inlineStr">
        <is>
          <t>ZONE 04: IRB/IEC AND OTHER APPROVALS</t>
        </is>
      </c>
    </row>
    <row r="36" ht="28" customHeight="1">
      <c r="A36" s="15" t="inlineStr"/>
      <c r="B36" s="16" t="inlineStr">
        <is>
          <t>04.01</t>
        </is>
      </c>
      <c r="C36" s="17" t="inlineStr">
        <is>
          <t xml:space="preserve">  IRB/IEC Submissions and Approvals</t>
        </is>
      </c>
      <c r="D36" s="16" t="inlineStr"/>
      <c r="E36" s="17" t="inlineStr"/>
      <c r="F36" s="16" t="inlineStr"/>
      <c r="G36" s="16" t="inlineStr"/>
      <c r="H36" s="17" t="inlineStr"/>
      <c r="I36" s="16" t="inlineStr"/>
    </row>
    <row r="37" ht="28" customHeight="1">
      <c r="A37" s="15" t="inlineStr"/>
      <c r="B37" s="15" t="inlineStr">
        <is>
          <t>04.01.01</t>
        </is>
      </c>
      <c r="C37" s="18" t="inlineStr">
        <is>
          <t>IRB/IEC Initial Approval</t>
        </is>
      </c>
      <c r="D37" s="15" t="inlineStr">
        <is>
          <t>Core</t>
        </is>
      </c>
      <c r="E37" s="18" t="inlineStr">
        <is>
          <t>Written approval from IRB/IEC before first subject is enrolled at each site.</t>
        </is>
      </c>
      <c r="F37" s="15" t="inlineStr">
        <is>
          <t>Site</t>
        </is>
      </c>
      <c r="G37" s="15" t="inlineStr">
        <is>
          <t>Sponsor/Inv.</t>
        </is>
      </c>
      <c r="H37" s="18" t="inlineStr">
        <is>
          <t>B-47 uses NCI Central IRB (CIRB) — confirmed in ASCO abstract. Central approval letter not public.</t>
        </is>
      </c>
      <c r="I37" s="19" t="inlineStr">
        <is>
          <t>INFERRED</t>
        </is>
      </c>
    </row>
    <row r="38" ht="42" customHeight="1">
      <c r="A38" s="15" t="inlineStr"/>
      <c r="B38" s="15" t="inlineStr">
        <is>
          <t>04.01.02</t>
        </is>
      </c>
      <c r="C38" s="18" t="inlineStr">
        <is>
          <t>IRB/IEC Continuing Review Approvals</t>
        </is>
      </c>
      <c r="D38" s="15" t="inlineStr">
        <is>
          <t>Core</t>
        </is>
      </c>
      <c r="E38" s="18" t="inlineStr">
        <is>
          <t>Annual re-approval from IRB/IEC for ongoing trial. Study ran 2011–2015 (accrual), requiring ~4–5 annual reviews.</t>
        </is>
      </c>
      <c r="F38" s="15" t="inlineStr">
        <is>
          <t>Site</t>
        </is>
      </c>
      <c r="G38" s="15" t="inlineStr">
        <is>
          <t>Sponsor/Inv.</t>
        </is>
      </c>
      <c r="H38" s="18" t="inlineStr">
        <is>
          <t>Required annually per 21 CFR 56.109 — NCI CIRB records; not publicly available</t>
        </is>
      </c>
      <c r="I38" s="19" t="inlineStr">
        <is>
          <t>INFERRED</t>
        </is>
      </c>
    </row>
    <row r="39" ht="28" customHeight="1">
      <c r="A39" s="15" t="inlineStr"/>
      <c r="B39" s="15" t="inlineStr">
        <is>
          <t>04.01.03</t>
        </is>
      </c>
      <c r="C39" s="18" t="inlineStr">
        <is>
          <t>IRB/IEC Approval of Protocol Amendments</t>
        </is>
      </c>
      <c r="D39" s="15" t="inlineStr">
        <is>
          <t>Core</t>
        </is>
      </c>
      <c r="E39" s="18" t="inlineStr">
        <is>
          <t>IRB approval of each protocol amendment before implementation.</t>
        </is>
      </c>
      <c r="F39" s="15" t="inlineStr">
        <is>
          <t>Site</t>
        </is>
      </c>
      <c r="G39" s="15" t="inlineStr">
        <is>
          <t>Sponsor/Inv.</t>
        </is>
      </c>
      <c r="H39" s="18" t="inlineStr">
        <is>
          <t>Protocol amended through at least 2018 version — amendment approvals required but not public</t>
        </is>
      </c>
      <c r="I39" s="19" t="inlineStr">
        <is>
          <t>INFERRED</t>
        </is>
      </c>
    </row>
    <row r="40" ht="28" customHeight="1">
      <c r="A40" s="15" t="inlineStr"/>
      <c r="B40" s="15" t="inlineStr">
        <is>
          <t>04.01.04</t>
        </is>
      </c>
      <c r="C40" s="18" t="inlineStr">
        <is>
          <t>IRB/IEC Approved Informed Consent Form</t>
        </is>
      </c>
      <c r="D40" s="15" t="inlineStr">
        <is>
          <t>Core</t>
        </is>
      </c>
      <c r="E40" s="18" t="inlineStr">
        <is>
          <t>IRB-stamped version of ICF, confirming approval.</t>
        </is>
      </c>
      <c r="F40" s="15" t="inlineStr">
        <is>
          <t>Site</t>
        </is>
      </c>
      <c r="G40" s="15" t="inlineStr">
        <is>
          <t>Sponsor/Inv.</t>
        </is>
      </c>
      <c r="H40" s="18" t="inlineStr">
        <is>
          <t>Site-specific IRB-approved ICF — not publicly available</t>
        </is>
      </c>
      <c r="I40" s="20" t="inlineStr">
        <is>
          <t>MISSING / GAP</t>
        </is>
      </c>
    </row>
    <row r="41" ht="28" customHeight="1">
      <c r="A41" s="15" t="inlineStr"/>
      <c r="B41" s="16" t="inlineStr">
        <is>
          <t>04.02</t>
        </is>
      </c>
      <c r="C41" s="17" t="inlineStr">
        <is>
          <t xml:space="preserve">  IRB/IEC Information</t>
        </is>
      </c>
      <c r="D41" s="16" t="inlineStr"/>
      <c r="E41" s="17" t="inlineStr"/>
      <c r="F41" s="16" t="inlineStr"/>
      <c r="G41" s="16" t="inlineStr"/>
      <c r="H41" s="17" t="inlineStr"/>
      <c r="I41" s="16" t="inlineStr"/>
    </row>
    <row r="42" ht="28" customHeight="1">
      <c r="A42" s="15" t="inlineStr"/>
      <c r="B42" s="15" t="inlineStr">
        <is>
          <t>04.02.01</t>
        </is>
      </c>
      <c r="C42" s="18" t="inlineStr">
        <is>
          <t>IRB/IEC Composition</t>
        </is>
      </c>
      <c r="D42" s="15" t="inlineStr">
        <is>
          <t>Core</t>
        </is>
      </c>
      <c r="E42" s="18" t="inlineStr">
        <is>
          <t>Documentation of IRB/IEC membership (names, qualifications, affiliations).</t>
        </is>
      </c>
      <c r="F42" s="15" t="inlineStr">
        <is>
          <t>Site</t>
        </is>
      </c>
      <c r="G42" s="15" t="inlineStr">
        <is>
          <t>Investigator</t>
        </is>
      </c>
      <c r="H42" s="18" t="inlineStr">
        <is>
          <t>NCI CIRB information available at ncicirb.org — partially public</t>
        </is>
      </c>
      <c r="I42" s="21" t="inlineStr">
        <is>
          <t>AVAILABLE</t>
        </is>
      </c>
    </row>
    <row r="43" ht="20" customHeight="1">
      <c r="B43" s="14" t="inlineStr">
        <is>
          <t>ZONE 05: SITE MANAGEMENT</t>
        </is>
      </c>
    </row>
    <row r="44" ht="28" customHeight="1">
      <c r="A44" s="15" t="inlineStr"/>
      <c r="B44" s="16" t="inlineStr">
        <is>
          <t>05.01</t>
        </is>
      </c>
      <c r="C44" s="17" t="inlineStr">
        <is>
          <t xml:space="preserve">  Site Selection and Initiation</t>
        </is>
      </c>
      <c r="D44" s="16" t="inlineStr"/>
      <c r="E44" s="17" t="inlineStr"/>
      <c r="F44" s="16" t="inlineStr"/>
      <c r="G44" s="16" t="inlineStr"/>
      <c r="H44" s="17" t="inlineStr"/>
      <c r="I44" s="16" t="inlineStr"/>
    </row>
    <row r="45" ht="42" customHeight="1">
      <c r="A45" s="15" t="inlineStr"/>
      <c r="B45" s="15" t="inlineStr">
        <is>
          <t>05.01.01</t>
        </is>
      </c>
      <c r="C45" s="18" t="inlineStr">
        <is>
          <t>Monitoring Plan</t>
        </is>
      </c>
      <c r="D45" s="15" t="inlineStr">
        <is>
          <t>Core</t>
        </is>
      </c>
      <c r="E45" s="18" t="inlineStr">
        <is>
          <t>Describes monitoring strategy, frequency and responsibilities. NCTN trials use risk-based central monitoring.</t>
        </is>
      </c>
      <c r="F45" s="15" t="inlineStr">
        <is>
          <t>Trial</t>
        </is>
      </c>
      <c r="G45" s="15" t="inlineStr">
        <is>
          <t>Sponsor</t>
        </is>
      </c>
      <c r="H45" s="18" t="inlineStr">
        <is>
          <t>Referenced in protocol as CTSU/NCI oversight — plan document not public</t>
        </is>
      </c>
      <c r="I45" s="19" t="inlineStr">
        <is>
          <t>INFERRED</t>
        </is>
      </c>
    </row>
    <row r="46" ht="42" customHeight="1">
      <c r="A46" s="15" t="inlineStr"/>
      <c r="B46" s="15" t="inlineStr">
        <is>
          <t>05.01.02</t>
        </is>
      </c>
      <c r="C46" s="18" t="inlineStr">
        <is>
          <t>Site Selection Documentation</t>
        </is>
      </c>
      <c r="D46" s="15" t="inlineStr">
        <is>
          <t>Recommended</t>
        </is>
      </c>
      <c r="E46" s="18" t="inlineStr">
        <is>
          <t>Records of site qualification assessment. ~300 NCTN sites pre-qualified for all NCI cooperative group trials.</t>
        </is>
      </c>
      <c r="F46" s="15" t="inlineStr">
        <is>
          <t>Trial</t>
        </is>
      </c>
      <c r="G46" s="15" t="inlineStr">
        <is>
          <t>Sponsor</t>
        </is>
      </c>
      <c r="H46" s="18" t="inlineStr">
        <is>
          <t>NCTN site qualification documented by NCI — individual site records not public</t>
        </is>
      </c>
      <c r="I46" s="19" t="inlineStr">
        <is>
          <t>INFERRED</t>
        </is>
      </c>
    </row>
    <row r="47" ht="28" customHeight="1">
      <c r="A47" s="15" t="inlineStr"/>
      <c r="B47" s="16" t="inlineStr">
        <is>
          <t>05.02</t>
        </is>
      </c>
      <c r="C47" s="17" t="inlineStr">
        <is>
          <t xml:space="preserve">  Site Activation</t>
        </is>
      </c>
      <c r="D47" s="16" t="inlineStr"/>
      <c r="E47" s="17" t="inlineStr"/>
      <c r="F47" s="16" t="inlineStr"/>
      <c r="G47" s="16" t="inlineStr"/>
      <c r="H47" s="17" t="inlineStr"/>
      <c r="I47" s="16" t="inlineStr"/>
    </row>
    <row r="48" ht="28" customHeight="1">
      <c r="A48" s="15" t="inlineStr"/>
      <c r="B48" s="15" t="inlineStr">
        <is>
          <t>05.02.01</t>
        </is>
      </c>
      <c r="C48" s="18" t="inlineStr">
        <is>
          <t>Site Initiation Visit (SIV) Records</t>
        </is>
      </c>
      <c r="D48" s="15" t="inlineStr">
        <is>
          <t>Recommended</t>
        </is>
      </c>
      <c r="E48" s="18" t="inlineStr">
        <is>
          <t>Documentation of site training visit prior to first enrollment.</t>
        </is>
      </c>
      <c r="F48" s="15" t="inlineStr">
        <is>
          <t>Site</t>
        </is>
      </c>
      <c r="G48" s="15" t="inlineStr">
        <is>
          <t>Sponsor</t>
        </is>
      </c>
      <c r="H48" s="18" t="inlineStr">
        <is>
          <t>Conducted for NCTN sites — individual records not public</t>
        </is>
      </c>
      <c r="I48" s="19" t="inlineStr">
        <is>
          <t>INFERRED</t>
        </is>
      </c>
    </row>
    <row r="49" ht="28" customHeight="1">
      <c r="A49" s="15" t="inlineStr"/>
      <c r="B49" s="15" t="inlineStr">
        <is>
          <t>05.02.02</t>
        </is>
      </c>
      <c r="C49" s="18" t="inlineStr">
        <is>
          <t>Signed Protocol Signature Page</t>
        </is>
      </c>
      <c r="D49" s="15" t="inlineStr">
        <is>
          <t>Core</t>
        </is>
      </c>
      <c r="E49" s="18" t="inlineStr">
        <is>
          <t>Investigator signature confirming receipt and agreement to conduct per protocol.</t>
        </is>
      </c>
      <c r="F49" s="15" t="inlineStr">
        <is>
          <t>Site</t>
        </is>
      </c>
      <c r="G49" s="15" t="inlineStr">
        <is>
          <t>Investigator</t>
        </is>
      </c>
      <c r="H49" s="18" t="inlineStr">
        <is>
          <t>Required per ICH E6(R2) — site-specific, not publicly available</t>
        </is>
      </c>
      <c r="I49" s="20" t="inlineStr">
        <is>
          <t>MISSING / GAP</t>
        </is>
      </c>
    </row>
    <row r="50" ht="28" customHeight="1">
      <c r="A50" s="15" t="inlineStr"/>
      <c r="B50" s="16" t="inlineStr">
        <is>
          <t>05.03</t>
        </is>
      </c>
      <c r="C50" s="17" t="inlineStr">
        <is>
          <t xml:space="preserve">  Monitoring</t>
        </is>
      </c>
      <c r="D50" s="16" t="inlineStr"/>
      <c r="E50" s="17" t="inlineStr"/>
      <c r="F50" s="16" t="inlineStr"/>
      <c r="G50" s="16" t="inlineStr"/>
      <c r="H50" s="17" t="inlineStr"/>
      <c r="I50" s="16" t="inlineStr"/>
    </row>
    <row r="51" ht="42" customHeight="1">
      <c r="A51" s="15" t="inlineStr"/>
      <c r="B51" s="15" t="inlineStr">
        <is>
          <t>05.03.01</t>
        </is>
      </c>
      <c r="C51" s="18" t="inlineStr">
        <is>
          <t>Monitoring Visit Reports</t>
        </is>
      </c>
      <c r="D51" s="15" t="inlineStr">
        <is>
          <t>Core</t>
        </is>
      </c>
      <c r="E51" s="18" t="inlineStr">
        <is>
          <t>Reports from each monitoring visit documenting findings, deviations, and follow-up.</t>
        </is>
      </c>
      <c r="F51" s="15" t="inlineStr">
        <is>
          <t>Site</t>
        </is>
      </c>
      <c r="G51" s="15" t="inlineStr">
        <is>
          <t>Sponsor</t>
        </is>
      </c>
      <c r="H51" s="18" t="inlineStr">
        <is>
          <t>Internal NCI/CTSU monitoring reports — not publicly available</t>
        </is>
      </c>
      <c r="I51" s="20" t="inlineStr">
        <is>
          <t>MISSING / GAP</t>
        </is>
      </c>
    </row>
    <row r="52" ht="28" customHeight="1">
      <c r="A52" s="15" t="inlineStr"/>
      <c r="B52" s="15" t="inlineStr">
        <is>
          <t>05.03.02</t>
        </is>
      </c>
      <c r="C52" s="18" t="inlineStr">
        <is>
          <t>Site Communication Log</t>
        </is>
      </c>
      <c r="D52" s="15" t="inlineStr">
        <is>
          <t>Recommended</t>
        </is>
      </c>
      <c r="E52" s="18" t="inlineStr">
        <is>
          <t>Record of all significant communications between sponsor and site.</t>
        </is>
      </c>
      <c r="F52" s="15" t="inlineStr">
        <is>
          <t>Site</t>
        </is>
      </c>
      <c r="G52" s="15" t="inlineStr">
        <is>
          <t>Sponsor</t>
        </is>
      </c>
      <c r="H52" s="18" t="inlineStr">
        <is>
          <t>Internal — not publicly available</t>
        </is>
      </c>
      <c r="I52" s="20" t="inlineStr">
        <is>
          <t>MISSING / GAP</t>
        </is>
      </c>
    </row>
    <row r="53" ht="20" customHeight="1">
      <c r="B53" s="14" t="inlineStr">
        <is>
          <t>ZONE 06: INVESTIGATIONAL PRODUCT (IP) AND TRIAL SUPPLIES</t>
        </is>
      </c>
    </row>
    <row r="54" ht="28" customHeight="1">
      <c r="A54" s="15" t="inlineStr"/>
      <c r="B54" s="16" t="inlineStr">
        <is>
          <t>06.01</t>
        </is>
      </c>
      <c r="C54" s="17" t="inlineStr">
        <is>
          <t xml:space="preserve">  IP Information</t>
        </is>
      </c>
      <c r="D54" s="16" t="inlineStr"/>
      <c r="E54" s="17" t="inlineStr"/>
      <c r="F54" s="16" t="inlineStr"/>
      <c r="G54" s="16" t="inlineStr"/>
      <c r="H54" s="17" t="inlineStr"/>
      <c r="I54" s="16" t="inlineStr"/>
    </row>
    <row r="55" ht="42" customHeight="1">
      <c r="A55" s="15" t="inlineStr"/>
      <c r="B55" s="15" t="inlineStr">
        <is>
          <t>06.01.01</t>
        </is>
      </c>
      <c r="C55" s="18" t="inlineStr">
        <is>
          <t>Drug Accountability Records</t>
        </is>
      </c>
      <c r="D55" s="15" t="inlineStr">
        <is>
          <t>Core</t>
        </is>
      </c>
      <c r="E55" s="18" t="inlineStr">
        <is>
          <t>Records of IP receipt, dispensing, return, and destruction at each site. Trastuzumab supplied by Genentech via NCI.</t>
        </is>
      </c>
      <c r="F55" s="15" t="inlineStr">
        <is>
          <t>Site</t>
        </is>
      </c>
      <c r="G55" s="15" t="inlineStr">
        <is>
          <t>Investigator</t>
        </is>
      </c>
      <c r="H55" s="18" t="inlineStr">
        <is>
          <t>Trastuzumab supply chain: Genentech/NCI — site drug logs not public</t>
        </is>
      </c>
      <c r="I55" s="19" t="inlineStr">
        <is>
          <t>INFERRED</t>
        </is>
      </c>
    </row>
    <row r="56" ht="28" customHeight="1">
      <c r="A56" s="15" t="inlineStr"/>
      <c r="B56" s="15" t="inlineStr">
        <is>
          <t>06.01.02</t>
        </is>
      </c>
      <c r="C56" s="18" t="inlineStr">
        <is>
          <t>Certificate of Analysis / GMP Certificate</t>
        </is>
      </c>
      <c r="D56" s="15" t="inlineStr">
        <is>
          <t>Core</t>
        </is>
      </c>
      <c r="E56" s="18" t="inlineStr">
        <is>
          <t>Confirms IP meets specifications. Trastuzumab is licensed commercial product.</t>
        </is>
      </c>
      <c r="F56" s="15" t="inlineStr">
        <is>
          <t>Trial</t>
        </is>
      </c>
      <c r="G56" s="15" t="inlineStr">
        <is>
          <t>Sponsor</t>
        </is>
      </c>
      <c r="H56" s="18" t="inlineStr">
        <is>
          <t>Genentech product certificates supplied to NCI — not public</t>
        </is>
      </c>
      <c r="I56" s="19" t="inlineStr">
        <is>
          <t>INFERRED</t>
        </is>
      </c>
    </row>
    <row r="57" ht="28" customHeight="1">
      <c r="A57" s="15" t="inlineStr"/>
      <c r="B57" s="15" t="inlineStr">
        <is>
          <t>06.01.03</t>
        </is>
      </c>
      <c r="C57" s="18" t="inlineStr">
        <is>
          <t>IP Labeling (Sample)</t>
        </is>
      </c>
      <c r="D57" s="15" t="inlineStr">
        <is>
          <t>Core</t>
        </is>
      </c>
      <c r="E57" s="18" t="inlineStr">
        <is>
          <t>Sample label for investigational product as used in the trial.</t>
        </is>
      </c>
      <c r="F57" s="15" t="inlineStr">
        <is>
          <t>Trial</t>
        </is>
      </c>
      <c r="G57" s="15" t="inlineStr">
        <is>
          <t>Sponsor</t>
        </is>
      </c>
      <c r="H57" s="18" t="inlineStr">
        <is>
          <t>Trastuzumab commercial labeling + trial-specific addendum — not publicly available as trial label</t>
        </is>
      </c>
      <c r="I57" s="19" t="inlineStr">
        <is>
          <t>INFERRED</t>
        </is>
      </c>
    </row>
    <row r="58" ht="28" customHeight="1">
      <c r="A58" s="15" t="inlineStr"/>
      <c r="B58" s="15" t="inlineStr">
        <is>
          <t>06.01.04</t>
        </is>
      </c>
      <c r="C58" s="18" t="inlineStr">
        <is>
          <t>IP Shipping Records</t>
        </is>
      </c>
      <c r="D58" s="15" t="inlineStr">
        <is>
          <t>Core</t>
        </is>
      </c>
      <c r="E58" s="18" t="inlineStr">
        <is>
          <t>Records of IP shipment from manufacturer to sites.</t>
        </is>
      </c>
      <c r="F58" s="15" t="inlineStr">
        <is>
          <t>Trial/Site</t>
        </is>
      </c>
      <c r="G58" s="15" t="inlineStr">
        <is>
          <t>Sponsor</t>
        </is>
      </c>
      <c r="H58" s="18" t="inlineStr">
        <is>
          <t>NCI drug distribution records — not publicly available</t>
        </is>
      </c>
      <c r="I58" s="19" t="inlineStr">
        <is>
          <t>INFERRED</t>
        </is>
      </c>
    </row>
    <row r="59" ht="28" customHeight="1">
      <c r="A59" s="15" t="inlineStr"/>
      <c r="B59" s="15" t="inlineStr">
        <is>
          <t>06.01.05</t>
        </is>
      </c>
      <c r="C59" s="18" t="inlineStr">
        <is>
          <t>IP Randomization and Unblinding Procedures</t>
        </is>
      </c>
      <c r="D59" s="15" t="inlineStr">
        <is>
          <t>NOT APPLICABLE</t>
        </is>
      </c>
      <c r="E59" s="18" t="inlineStr">
        <is>
          <t>B-47 is an open-label trial. No blinding was used for IP assignment.</t>
        </is>
      </c>
      <c r="F59" s="15" t="inlineStr">
        <is>
          <t>N/A</t>
        </is>
      </c>
      <c r="G59" s="15" t="inlineStr">
        <is>
          <t>N/A</t>
        </is>
      </c>
      <c r="H59" s="18" t="inlineStr">
        <is>
          <t>Protocol confirms open-label design — artifact not applicable</t>
        </is>
      </c>
      <c r="I59" s="22" t="inlineStr">
        <is>
          <t>NOT APPLICABLE</t>
        </is>
      </c>
    </row>
    <row r="60" ht="20" customHeight="1">
      <c r="B60" s="14" t="inlineStr">
        <is>
          <t>ZONE 07: SAFETY REPORTING</t>
        </is>
      </c>
    </row>
    <row r="61" ht="28" customHeight="1">
      <c r="A61" s="15" t="inlineStr"/>
      <c r="B61" s="16" t="inlineStr">
        <is>
          <t>07.01</t>
        </is>
      </c>
      <c r="C61" s="17" t="inlineStr">
        <is>
          <t xml:space="preserve">  Safety Management</t>
        </is>
      </c>
      <c r="D61" s="16" t="inlineStr"/>
      <c r="E61" s="17" t="inlineStr"/>
      <c r="F61" s="16" t="inlineStr"/>
      <c r="G61" s="16" t="inlineStr"/>
      <c r="H61" s="17" t="inlineStr"/>
      <c r="I61" s="16" t="inlineStr"/>
    </row>
    <row r="62" ht="42" customHeight="1">
      <c r="A62" s="15" t="inlineStr"/>
      <c r="B62" s="15" t="inlineStr">
        <is>
          <t>07.01.01</t>
        </is>
      </c>
      <c r="C62" s="18" t="inlineStr">
        <is>
          <t>Safety Management Plan</t>
        </is>
      </c>
      <c r="D62" s="15" t="inlineStr">
        <is>
          <t>Core</t>
        </is>
      </c>
      <c r="E62" s="18" t="inlineStr">
        <is>
          <t>Describes pharmacovigilance activities, SAE reporting pathways, and safety oversight for the trial.</t>
        </is>
      </c>
      <c r="F62" s="15" t="inlineStr">
        <is>
          <t>Trial</t>
        </is>
      </c>
      <c r="G62" s="15" t="inlineStr">
        <is>
          <t>Sponsor</t>
        </is>
      </c>
      <c r="H62" s="18" t="inlineStr">
        <is>
          <t>Cardiac safety monitoring explicitly described in B-47 protocol (trastuzumab cardiotoxicity section)</t>
        </is>
      </c>
      <c r="I62" s="21" t="inlineStr">
        <is>
          <t>AVAILABLE</t>
        </is>
      </c>
    </row>
    <row r="63" ht="28" customHeight="1">
      <c r="A63" s="15" t="inlineStr"/>
      <c r="B63" s="15" t="inlineStr">
        <is>
          <t>07.01.02</t>
        </is>
      </c>
      <c r="C63" s="18" t="inlineStr">
        <is>
          <t>Data Safety Monitoring Board (DSMB) Charter</t>
        </is>
      </c>
      <c r="D63" s="15" t="inlineStr">
        <is>
          <t>Recommended</t>
        </is>
      </c>
      <c r="E63" s="18" t="inlineStr">
        <is>
          <t>Charter establishing the DSMB mandate, membership, and meeting procedures.</t>
        </is>
      </c>
      <c r="F63" s="15" t="inlineStr">
        <is>
          <t>Trial</t>
        </is>
      </c>
      <c r="G63" s="15" t="inlineStr">
        <is>
          <t>Sponsor</t>
        </is>
      </c>
      <c r="H63" s="18" t="inlineStr">
        <is>
          <t>NCI DSMB oversight referenced for B-47 — charter not publicly available</t>
        </is>
      </c>
      <c r="I63" s="19" t="inlineStr">
        <is>
          <t>INFERRED</t>
        </is>
      </c>
    </row>
    <row r="64" ht="28" customHeight="1">
      <c r="A64" s="15" t="inlineStr"/>
      <c r="B64" s="16" t="inlineStr">
        <is>
          <t>07.02</t>
        </is>
      </c>
      <c r="C64" s="17" t="inlineStr">
        <is>
          <t xml:space="preserve">  Safety Reports</t>
        </is>
      </c>
      <c r="D64" s="16" t="inlineStr"/>
      <c r="E64" s="17" t="inlineStr"/>
      <c r="F64" s="16" t="inlineStr"/>
      <c r="G64" s="16" t="inlineStr"/>
      <c r="H64" s="17" t="inlineStr"/>
      <c r="I64" s="16" t="inlineStr"/>
    </row>
    <row r="65" ht="42" customHeight="1">
      <c r="A65" s="15" t="inlineStr"/>
      <c r="B65" s="15" t="inlineStr">
        <is>
          <t>07.02.01</t>
        </is>
      </c>
      <c r="C65" s="18" t="inlineStr">
        <is>
          <t>Serious Adverse Event (SAE) Reports</t>
        </is>
      </c>
      <c r="D65" s="15" t="inlineStr">
        <is>
          <t>Core</t>
        </is>
      </c>
      <c r="E65" s="18" t="inlineStr">
        <is>
          <t>Individual SAE case reports submitted to sponsor. Cardiac events (LVEF drops) were specific focus of B-47.</t>
        </is>
      </c>
      <c r="F65" s="15" t="inlineStr">
        <is>
          <t>Trial/Site</t>
        </is>
      </c>
      <c r="G65" s="15" t="inlineStr">
        <is>
          <t>Sponsor/Inv.</t>
        </is>
      </c>
      <c r="H65" s="18" t="inlineStr">
        <is>
          <t>SAE data reported in J Clin Oncol 2020 results paper (aggregate) — individual SAE reports not public</t>
        </is>
      </c>
      <c r="I65" s="19" t="inlineStr">
        <is>
          <t>INFERRED</t>
        </is>
      </c>
    </row>
    <row r="66" ht="42" customHeight="1">
      <c r="A66" s="15" t="inlineStr"/>
      <c r="B66" s="15" t="inlineStr">
        <is>
          <t>07.02.02</t>
        </is>
      </c>
      <c r="C66" s="18" t="inlineStr">
        <is>
          <t>DSMB Meeting Minutes / Recommendations</t>
        </is>
      </c>
      <c r="D66" s="15" t="inlineStr">
        <is>
          <t>Recommended</t>
        </is>
      </c>
      <c r="E66" s="18" t="inlineStr">
        <is>
          <t>Minutes from DSMB reviews and any recommendations to continue, modify, or stop the trial.</t>
        </is>
      </c>
      <c r="F66" s="15" t="inlineStr">
        <is>
          <t>Trial</t>
        </is>
      </c>
      <c r="G66" s="15" t="inlineStr">
        <is>
          <t>Sponsor</t>
        </is>
      </c>
      <c r="H66" s="18" t="inlineStr">
        <is>
          <t>Trial completed as planned — no early stopping. DSMB minutes not public.</t>
        </is>
      </c>
      <c r="I66" s="19" t="inlineStr">
        <is>
          <t>INFERRED</t>
        </is>
      </c>
    </row>
    <row r="67" ht="28" customHeight="1">
      <c r="A67" s="15" t="inlineStr"/>
      <c r="B67" s="15" t="inlineStr">
        <is>
          <t>07.02.03</t>
        </is>
      </c>
      <c r="C67" s="18" t="inlineStr">
        <is>
          <t>Aggregate Safety Reports (DSUR/IND Annual Report)</t>
        </is>
      </c>
      <c r="D67" s="15" t="inlineStr">
        <is>
          <t>Core</t>
        </is>
      </c>
      <c r="E67" s="18" t="inlineStr">
        <is>
          <t>Periodic aggregated safety summaries submitted to regulatory authorities.</t>
        </is>
      </c>
      <c r="F67" s="15" t="inlineStr">
        <is>
          <t>Trial</t>
        </is>
      </c>
      <c r="G67" s="15" t="inlineStr">
        <is>
          <t>Sponsor</t>
        </is>
      </c>
      <c r="H67" s="18" t="inlineStr">
        <is>
          <t>Required per ICH E2F — submitted annually to FDA under IND #113988; not public</t>
        </is>
      </c>
      <c r="I67" s="19" t="inlineStr">
        <is>
          <t>INFERRED</t>
        </is>
      </c>
    </row>
    <row r="68" ht="20" customHeight="1">
      <c r="B68" s="14" t="inlineStr">
        <is>
          <t>ZONE 08: CENTRAL AND LOCAL TESTING</t>
        </is>
      </c>
    </row>
    <row r="69" ht="28" customHeight="1">
      <c r="A69" s="15" t="inlineStr"/>
      <c r="B69" s="16" t="inlineStr">
        <is>
          <t>08.01</t>
        </is>
      </c>
      <c r="C69" s="17" t="inlineStr">
        <is>
          <t xml:space="preserve">  Central Laboratory</t>
        </is>
      </c>
      <c r="D69" s="16" t="inlineStr"/>
      <c r="E69" s="17" t="inlineStr"/>
      <c r="F69" s="16" t="inlineStr"/>
      <c r="G69" s="16" t="inlineStr"/>
      <c r="H69" s="17" t="inlineStr"/>
      <c r="I69" s="16" t="inlineStr"/>
    </row>
    <row r="70" ht="42" customHeight="1">
      <c r="A70" s="15" t="inlineStr"/>
      <c r="B70" s="15" t="inlineStr">
        <is>
          <t>08.01.01</t>
        </is>
      </c>
      <c r="C70" s="18" t="inlineStr">
        <is>
          <t>Central Lab Certification and Accreditation</t>
        </is>
      </c>
      <c r="D70" s="15" t="inlineStr">
        <is>
          <t>Core</t>
        </is>
      </c>
      <c r="E70" s="18" t="inlineStr">
        <is>
          <t>HER2 central testing was critical to B-47 eligibility (IHC 1+ or 2+, FISH non-amplified). Central lab documentation required.</t>
        </is>
      </c>
      <c r="F70" s="15" t="inlineStr">
        <is>
          <t>Trial</t>
        </is>
      </c>
      <c r="G70" s="15" t="inlineStr">
        <is>
          <t>Sponsor</t>
        </is>
      </c>
      <c r="H70" s="18" t="inlineStr">
        <is>
          <t>NSABP/NRG central pathology lab (Dr. Soonmyung Paik) — accreditation not publicly posted but confirmed in protocol</t>
        </is>
      </c>
      <c r="I70" s="19" t="inlineStr">
        <is>
          <t>INFERRED</t>
        </is>
      </c>
    </row>
    <row r="71" ht="42" customHeight="1">
      <c r="A71" s="15" t="inlineStr"/>
      <c r="B71" s="15" t="inlineStr">
        <is>
          <t>08.01.02</t>
        </is>
      </c>
      <c r="C71" s="18" t="inlineStr">
        <is>
          <t>Central Lab Normal Ranges</t>
        </is>
      </c>
      <c r="D71" s="15" t="inlineStr">
        <is>
          <t>Core</t>
        </is>
      </c>
      <c r="E71" s="18" t="inlineStr">
        <is>
          <t>Current normal reference ranges for all tests used (LVEF, FISH ratios, IHC scores).</t>
        </is>
      </c>
      <c r="F71" s="15" t="inlineStr">
        <is>
          <t>Trial</t>
        </is>
      </c>
      <c r="G71" s="15" t="inlineStr">
        <is>
          <t>Sponsor</t>
        </is>
      </c>
      <c r="H71" s="18" t="inlineStr">
        <is>
          <t>LVEF measurement protocol and FISH thresholds defined in B-47 protocol (eligibility section)</t>
        </is>
      </c>
      <c r="I71" s="21" t="inlineStr">
        <is>
          <t>AVAILABLE</t>
        </is>
      </c>
    </row>
    <row r="72" ht="28" customHeight="1">
      <c r="A72" s="15" t="inlineStr"/>
      <c r="B72" s="15" t="inlineStr">
        <is>
          <t>08.01.03</t>
        </is>
      </c>
      <c r="C72" s="18" t="inlineStr">
        <is>
          <t>Laboratory Procedures Manual</t>
        </is>
      </c>
      <c r="D72" s="15" t="inlineStr">
        <is>
          <t>Core</t>
        </is>
      </c>
      <c r="E72" s="18" t="inlineStr">
        <is>
          <t>Step-by-step procedures for sample collection, processing, and analysis.</t>
        </is>
      </c>
      <c r="F72" s="15" t="inlineStr">
        <is>
          <t>Trial</t>
        </is>
      </c>
      <c r="G72" s="15" t="inlineStr">
        <is>
          <t>Sponsor</t>
        </is>
      </c>
      <c r="H72" s="18" t="inlineStr">
        <is>
          <t>HER2 testing manual referenced in protocol — not publicly available as standalone document</t>
        </is>
      </c>
      <c r="I72" s="19" t="inlineStr">
        <is>
          <t>INFERRED</t>
        </is>
      </c>
    </row>
    <row r="73" ht="28" customHeight="1">
      <c r="A73" s="15" t="inlineStr"/>
      <c r="B73" s="16" t="inlineStr">
        <is>
          <t>08.02</t>
        </is>
      </c>
      <c r="C73" s="17" t="inlineStr">
        <is>
          <t xml:space="preserve">  Local Laboratory</t>
        </is>
      </c>
      <c r="D73" s="16" t="inlineStr"/>
      <c r="E73" s="17" t="inlineStr"/>
      <c r="F73" s="16" t="inlineStr"/>
      <c r="G73" s="16" t="inlineStr"/>
      <c r="H73" s="17" t="inlineStr"/>
      <c r="I73" s="16" t="inlineStr"/>
    </row>
    <row r="74" ht="42" customHeight="1">
      <c r="A74" s="15" t="inlineStr"/>
      <c r="B74" s="15" t="inlineStr">
        <is>
          <t>08.02.01</t>
        </is>
      </c>
      <c r="C74" s="18" t="inlineStr">
        <is>
          <t>Local Lab Certification</t>
        </is>
      </c>
      <c r="D74" s="15" t="inlineStr">
        <is>
          <t>Core</t>
        </is>
      </c>
      <c r="E74" s="18" t="inlineStr">
        <is>
          <t>Documentation of local lab accreditation (e.g., CLIA certification) at each site.</t>
        </is>
      </c>
      <c r="F74" s="15" t="inlineStr">
        <is>
          <t>Site</t>
        </is>
      </c>
      <c r="G74" s="15" t="inlineStr">
        <is>
          <t>Investigator</t>
        </is>
      </c>
      <c r="H74" s="18" t="inlineStr">
        <is>
          <t>Required per protocol for cardiac testing (MUGA/Echo) — site-specific, not public</t>
        </is>
      </c>
      <c r="I74" s="20" t="inlineStr">
        <is>
          <t>MISSING / GAP</t>
        </is>
      </c>
    </row>
    <row r="75" ht="20" customHeight="1">
      <c r="B75" s="14" t="inlineStr">
        <is>
          <t>ZONE 09: THIRD PARTIES</t>
        </is>
      </c>
    </row>
    <row r="76" ht="28" customHeight="1">
      <c r="A76" s="15" t="inlineStr"/>
      <c r="B76" s="16" t="inlineStr">
        <is>
          <t>09.01</t>
        </is>
      </c>
      <c r="C76" s="17" t="inlineStr">
        <is>
          <t xml:space="preserve">  Vendor Contracts and Oversight</t>
        </is>
      </c>
      <c r="D76" s="16" t="inlineStr"/>
      <c r="E76" s="17" t="inlineStr"/>
      <c r="F76" s="16" t="inlineStr"/>
      <c r="G76" s="16" t="inlineStr"/>
      <c r="H76" s="17" t="inlineStr"/>
      <c r="I76" s="16" t="inlineStr"/>
    </row>
    <row r="77" ht="42" customHeight="1">
      <c r="A77" s="15" t="inlineStr"/>
      <c r="B77" s="15" t="inlineStr">
        <is>
          <t>09.01.01</t>
        </is>
      </c>
      <c r="C77" s="18" t="inlineStr">
        <is>
          <t>Contract / Agreement with Genentech (IP Supply)</t>
        </is>
      </c>
      <c r="D77" s="15" t="inlineStr">
        <is>
          <t>Core</t>
        </is>
      </c>
      <c r="E77" s="18" t="inlineStr">
        <is>
          <t>Formal agreement between NCI and Genentech for trastuzumab supply under IND #113988.</t>
        </is>
      </c>
      <c r="F77" s="15" t="inlineStr">
        <is>
          <t>Trial</t>
        </is>
      </c>
      <c r="G77" s="15" t="inlineStr">
        <is>
          <t>Sponsor</t>
        </is>
      </c>
      <c r="H77" s="18" t="inlineStr">
        <is>
          <t>Confirmed in protocol: 'Trastuzumab supplied by Genentech through the NCI' — contract terms not public</t>
        </is>
      </c>
      <c r="I77" s="19" t="inlineStr">
        <is>
          <t>INFERRED</t>
        </is>
      </c>
    </row>
    <row r="78" ht="42" customHeight="1">
      <c r="A78" s="15" t="inlineStr"/>
      <c r="B78" s="15" t="inlineStr">
        <is>
          <t>09.01.02</t>
        </is>
      </c>
      <c r="C78" s="18" t="inlineStr">
        <is>
          <t>CTSU Agreement (NCTN Infrastructure)</t>
        </is>
      </c>
      <c r="D78" s="15" t="inlineStr">
        <is>
          <t>Core</t>
        </is>
      </c>
      <c r="E78" s="18" t="inlineStr">
        <is>
          <t>Agreement with Cancer Trials Support Unit (CTSU) for site operations and data management.</t>
        </is>
      </c>
      <c r="F78" s="15" t="inlineStr">
        <is>
          <t>Trial</t>
        </is>
      </c>
      <c r="G78" s="15" t="inlineStr">
        <is>
          <t>Sponsor</t>
        </is>
      </c>
      <c r="H78" s="18" t="inlineStr">
        <is>
          <t>CTSU infrastructure confirmed — agreement referenced but not public</t>
        </is>
      </c>
      <c r="I78" s="19" t="inlineStr">
        <is>
          <t>INFERRED</t>
        </is>
      </c>
    </row>
    <row r="79" ht="28" customHeight="1">
      <c r="A79" s="15" t="inlineStr"/>
      <c r="B79" s="15" t="inlineStr">
        <is>
          <t>09.01.03</t>
        </is>
      </c>
      <c r="C79" s="18" t="inlineStr">
        <is>
          <t>Central Pathology Vendor Agreement</t>
        </is>
      </c>
      <c r="D79" s="15" t="inlineStr">
        <is>
          <t>Core</t>
        </is>
      </c>
      <c r="E79" s="18" t="inlineStr">
        <is>
          <t>Agreement with NRG Oncology central pathology lab for HER2 central testing.</t>
        </is>
      </c>
      <c r="F79" s="15" t="inlineStr">
        <is>
          <t>Trial</t>
        </is>
      </c>
      <c r="G79" s="15" t="inlineStr">
        <is>
          <t>Sponsor</t>
        </is>
      </c>
      <c r="H79" s="18" t="inlineStr">
        <is>
          <t>Protocol names central pathologist Dr. Paik — formal agreement not public</t>
        </is>
      </c>
      <c r="I79" s="19" t="inlineStr">
        <is>
          <t>INFERRED</t>
        </is>
      </c>
    </row>
    <row r="80" ht="20" customHeight="1">
      <c r="B80" s="14" t="inlineStr">
        <is>
          <t>ZONE 10: DATA MANAGEMENT</t>
        </is>
      </c>
    </row>
    <row r="81" ht="28" customHeight="1">
      <c r="A81" s="15" t="inlineStr"/>
      <c r="B81" s="16" t="inlineStr">
        <is>
          <t>10.01</t>
        </is>
      </c>
      <c r="C81" s="17" t="inlineStr">
        <is>
          <t xml:space="preserve">  Data Management Plans and Reports</t>
        </is>
      </c>
      <c r="D81" s="16" t="inlineStr"/>
      <c r="E81" s="17" t="inlineStr"/>
      <c r="F81" s="16" t="inlineStr"/>
      <c r="G81" s="16" t="inlineStr"/>
      <c r="H81" s="17" t="inlineStr"/>
      <c r="I81" s="16" t="inlineStr"/>
    </row>
    <row r="82" ht="42" customHeight="1">
      <c r="A82" s="15" t="inlineStr"/>
      <c r="B82" s="15" t="inlineStr">
        <is>
          <t>10.01.01</t>
        </is>
      </c>
      <c r="C82" s="18" t="inlineStr">
        <is>
          <t>Data Management Plan</t>
        </is>
      </c>
      <c r="D82" s="15" t="inlineStr">
        <is>
          <t>Core</t>
        </is>
      </c>
      <c r="E82" s="18" t="inlineStr">
        <is>
          <t>Plan describing how data will be collected, entered, validated, and stored. NCTN uses RAVE EDC system.</t>
        </is>
      </c>
      <c r="F82" s="15" t="inlineStr">
        <is>
          <t>Trial</t>
        </is>
      </c>
      <c r="G82" s="15" t="inlineStr">
        <is>
          <t>Sponsor</t>
        </is>
      </c>
      <c r="H82" s="18" t="inlineStr">
        <is>
          <t>Referenced in B-47 protocol statistical section — formal DMP not publicly available</t>
        </is>
      </c>
      <c r="I82" s="19" t="inlineStr">
        <is>
          <t>INFERRED</t>
        </is>
      </c>
    </row>
    <row r="83" ht="28" customHeight="1">
      <c r="A83" s="15" t="inlineStr"/>
      <c r="B83" s="15" t="inlineStr">
        <is>
          <t>10.01.02</t>
        </is>
      </c>
      <c r="C83" s="18" t="inlineStr">
        <is>
          <t>Statistical Analysis Plan (SAP)</t>
        </is>
      </c>
      <c r="D83" s="15" t="inlineStr">
        <is>
          <t>Core</t>
        </is>
      </c>
      <c r="E83" s="18" t="inlineStr">
        <is>
          <t>Pre-specified statistical methods for primary and secondary endpoints.</t>
        </is>
      </c>
      <c r="F83" s="15" t="inlineStr">
        <is>
          <t>Trial</t>
        </is>
      </c>
      <c r="G83" s="15" t="inlineStr">
        <is>
          <t>Sponsor</t>
        </is>
      </c>
      <c r="H83" s="18" t="inlineStr">
        <is>
          <t>SAP published with protocol PDF (Prot_SAP_000.pdf at ClinicalTrials.gov) — publicly available</t>
        </is>
      </c>
      <c r="I83" s="21" t="inlineStr">
        <is>
          <t>AVAILABLE</t>
        </is>
      </c>
    </row>
    <row r="84" ht="28" customHeight="1">
      <c r="A84" s="15" t="inlineStr"/>
      <c r="B84" s="15" t="inlineStr">
        <is>
          <t>10.01.03</t>
        </is>
      </c>
      <c r="C84" s="18" t="inlineStr">
        <is>
          <t>Database Lock Documentation</t>
        </is>
      </c>
      <c r="D84" s="15" t="inlineStr">
        <is>
          <t>Core</t>
        </is>
      </c>
      <c r="E84" s="18" t="inlineStr">
        <is>
          <t>Formal record of database lock prior to unblinded analysis.</t>
        </is>
      </c>
      <c r="F84" s="15" t="inlineStr">
        <is>
          <t>Trial</t>
        </is>
      </c>
      <c r="G84" s="15" t="inlineStr">
        <is>
          <t>Sponsor</t>
        </is>
      </c>
      <c r="H84" s="18" t="inlineStr">
        <is>
          <t>Results published 2019/2020 — database lock occurred ~2018/2019. Documentation not public.</t>
        </is>
      </c>
      <c r="I84" s="19" t="inlineStr">
        <is>
          <t>INFERRED</t>
        </is>
      </c>
    </row>
    <row r="85" ht="28" customHeight="1">
      <c r="A85" s="15" t="inlineStr"/>
      <c r="B85" s="15" t="inlineStr">
        <is>
          <t>10.01.04</t>
        </is>
      </c>
      <c r="C85" s="18" t="inlineStr">
        <is>
          <t>Completed / Final CRFs</t>
        </is>
      </c>
      <c r="D85" s="15" t="inlineStr">
        <is>
          <t>Core</t>
        </is>
      </c>
      <c r="E85" s="18" t="inlineStr">
        <is>
          <t>All completed eCRF data for enrolled subjects (3,270 patients).</t>
        </is>
      </c>
      <c r="F85" s="15" t="inlineStr">
        <is>
          <t>Trial/Site</t>
        </is>
      </c>
      <c r="G85" s="15" t="inlineStr">
        <is>
          <t>Sponsor</t>
        </is>
      </c>
      <c r="H85" s="18" t="inlineStr">
        <is>
          <t>Electronic data maintained in NCTN database — not publicly available</t>
        </is>
      </c>
      <c r="I85" s="19" t="inlineStr">
        <is>
          <t>INFERRED</t>
        </is>
      </c>
    </row>
    <row r="86" ht="20" customHeight="1">
      <c r="B86" s="14" t="inlineStr">
        <is>
          <t>ZONE 11: STATISTICS</t>
        </is>
      </c>
    </row>
    <row r="87" ht="28" customHeight="1">
      <c r="A87" s="15" t="inlineStr"/>
      <c r="B87" s="16" t="inlineStr">
        <is>
          <t>11.01</t>
        </is>
      </c>
      <c r="C87" s="17" t="inlineStr">
        <is>
          <t xml:space="preserve">  Statistical Documents</t>
        </is>
      </c>
      <c r="D87" s="16" t="inlineStr"/>
      <c r="E87" s="17" t="inlineStr"/>
      <c r="F87" s="16" t="inlineStr"/>
      <c r="G87" s="16" t="inlineStr"/>
      <c r="H87" s="17" t="inlineStr"/>
      <c r="I87" s="16" t="inlineStr"/>
    </row>
    <row r="88" ht="42" customHeight="1">
      <c r="A88" s="15" t="inlineStr"/>
      <c r="B88" s="15" t="inlineStr">
        <is>
          <t>11.01.01</t>
        </is>
      </c>
      <c r="C88" s="18" t="inlineStr">
        <is>
          <t>Statistical Analysis Plan (SAP)</t>
        </is>
      </c>
      <c r="D88" s="15" t="inlineStr">
        <is>
          <t>Core</t>
        </is>
      </c>
      <c r="E88" s="18" t="inlineStr">
        <is>
          <t>Pre-specified statistical analysis plan. Primary endpoint: IDFS, 90% power to detect 33% hazard reduction, 1-sided α=0.025.</t>
        </is>
      </c>
      <c r="F88" s="15" t="inlineStr">
        <is>
          <t>Trial</t>
        </is>
      </c>
      <c r="G88" s="15" t="inlineStr">
        <is>
          <t>Sponsor</t>
        </is>
      </c>
      <c r="H88" s="18" t="inlineStr">
        <is>
          <t>Published with protocol at ClinicalTrials.gov — fully available</t>
        </is>
      </c>
      <c r="I88" s="21" t="inlineStr">
        <is>
          <t>AVAILABLE</t>
        </is>
      </c>
    </row>
    <row r="89" ht="42" customHeight="1">
      <c r="A89" s="15" t="inlineStr"/>
      <c r="B89" s="15" t="inlineStr">
        <is>
          <t>11.01.02</t>
        </is>
      </c>
      <c r="C89" s="18" t="inlineStr">
        <is>
          <t>Randomization Scheme</t>
        </is>
      </c>
      <c r="D89" s="15" t="inlineStr">
        <is>
          <t>Core</t>
        </is>
      </c>
      <c r="E89" s="18" t="inlineStr">
        <is>
          <t>Randomization method documentation. B-47 stratified by: chemo regimen choice, hormone receptor status, nodal status.</t>
        </is>
      </c>
      <c r="F89" s="15" t="inlineStr">
        <is>
          <t>Trial</t>
        </is>
      </c>
      <c r="G89" s="15" t="inlineStr">
        <is>
          <t>Sponsor</t>
        </is>
      </c>
      <c r="H89" s="18" t="inlineStr">
        <is>
          <t>Stratification factors confirmed in protocol and results paper — scheme document not public</t>
        </is>
      </c>
      <c r="I89" s="19" t="inlineStr">
        <is>
          <t>INFERRED</t>
        </is>
      </c>
    </row>
    <row r="90" ht="28" customHeight="1">
      <c r="A90" s="15" t="inlineStr"/>
      <c r="B90" s="15" t="inlineStr">
        <is>
          <t>11.01.03</t>
        </is>
      </c>
      <c r="C90" s="18" t="inlineStr">
        <is>
          <t>Statistical Output / Analysis Datasets</t>
        </is>
      </c>
      <c r="D90" s="15" t="inlineStr">
        <is>
          <t>Core</t>
        </is>
      </c>
      <c r="E90" s="18" t="inlineStr">
        <is>
          <t>Analysis datasets and statistical output used to generate final results.</t>
        </is>
      </c>
      <c r="F90" s="15" t="inlineStr">
        <is>
          <t>Trial</t>
        </is>
      </c>
      <c r="G90" s="15" t="inlineStr">
        <is>
          <t>Sponsor</t>
        </is>
      </c>
      <c r="H90" s="18" t="inlineStr">
        <is>
          <t>Kaplan-Meier and HR outputs published in JCO 2020 — full datasets not public</t>
        </is>
      </c>
      <c r="I90" s="19" t="inlineStr">
        <is>
          <t>INFERRED</t>
        </is>
      </c>
    </row>
  </sheetData>
  <autoFilter ref="B1:I91"/>
  <mergeCells count="11">
    <mergeCell ref="B53:I53"/>
    <mergeCell ref="B68:I68"/>
    <mergeCell ref="B75:I75"/>
    <mergeCell ref="B86:I86"/>
    <mergeCell ref="B16:I16"/>
    <mergeCell ref="B2:I2"/>
    <mergeCell ref="B28:I28"/>
    <mergeCell ref="B80:I80"/>
    <mergeCell ref="B60:I60"/>
    <mergeCell ref="B35:I35"/>
    <mergeCell ref="B43:I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4" customWidth="1" min="4" max="4"/>
    <col width="16" customWidth="1" min="5" max="5"/>
    <col width="20" customWidth="1" min="6" max="6"/>
    <col width="36" customWidth="1" min="7" max="7"/>
  </cols>
  <sheetData>
    <row r="1" ht="30" customHeight="1">
      <c r="A1" s="13" t="inlineStr"/>
      <c r="B1" s="13" t="inlineStr">
        <is>
          <t>Zone</t>
        </is>
      </c>
      <c r="C1" s="13" t="inlineStr">
        <is>
          <t>Artifact Name</t>
        </is>
      </c>
      <c r="D1" s="13" t="inlineStr">
        <is>
          <t>Core /
Recom.</t>
        </is>
      </c>
      <c r="E1" s="13" t="inlineStr">
        <is>
          <t>Status</t>
        </is>
      </c>
      <c r="F1" s="13" t="inlineStr">
        <is>
          <t>ICH E6(R2) Ref</t>
        </is>
      </c>
      <c r="G1" s="13" t="inlineStr">
        <is>
          <t>Inspection Readiness Note</t>
        </is>
      </c>
    </row>
    <row r="2" ht="28" customHeight="1">
      <c r="A2" s="23" t="inlineStr"/>
      <c r="B2" s="24" t="inlineStr">
        <is>
          <t>01</t>
        </is>
      </c>
      <c r="C2" s="25" t="inlineStr">
        <is>
          <t>List of SOPs Current During Trial</t>
        </is>
      </c>
      <c r="D2" s="24" t="inlineStr">
        <is>
          <t>Core</t>
        </is>
      </c>
      <c r="E2" s="26" t="inlineStr">
        <is>
          <t>INFERRED</t>
        </is>
      </c>
      <c r="F2" s="24" t="inlineStr">
        <is>
          <t>Section 8.1</t>
        </is>
      </c>
      <c r="G2" s="25" t="inlineStr">
        <is>
          <t>SOPs in effect per cooperative group — existence confirmed</t>
        </is>
      </c>
    </row>
    <row r="3" ht="28" customHeight="1">
      <c r="A3" s="23" t="inlineStr"/>
      <c r="B3" s="24" t="inlineStr">
        <is>
          <t>01</t>
        </is>
      </c>
      <c r="C3" s="25" t="inlineStr">
        <is>
          <t>Trial Registration</t>
        </is>
      </c>
      <c r="D3" s="24" t="inlineStr">
        <is>
          <t>Core</t>
        </is>
      </c>
      <c r="E3" s="27" t="inlineStr">
        <is>
          <t>AVAILABLE</t>
        </is>
      </c>
      <c r="F3" s="24" t="inlineStr">
        <is>
          <t>Section 5.1</t>
        </is>
      </c>
      <c r="G3" s="25" t="inlineStr">
        <is>
          <t>✓ NCT01275677 publicly registered and verified</t>
        </is>
      </c>
    </row>
    <row r="4" ht="28" customHeight="1">
      <c r="A4" s="23" t="inlineStr"/>
      <c r="B4" s="24" t="inlineStr">
        <is>
          <t>01</t>
        </is>
      </c>
      <c r="C4" s="25" t="inlineStr">
        <is>
          <t>Delegation of Authority Log</t>
        </is>
      </c>
      <c r="D4" s="24" t="inlineStr">
        <is>
          <t>Core</t>
        </is>
      </c>
      <c r="E4" s="28" t="inlineStr">
        <is>
          <t>MISSING / GAP</t>
        </is>
      </c>
      <c r="F4" s="24" t="inlineStr">
        <is>
          <t>Section 8.3.17</t>
        </is>
      </c>
      <c r="G4" s="25" t="inlineStr">
        <is>
          <t>High-risk gap. Required per ICH E6(R2) at each of ~300 sites</t>
        </is>
      </c>
    </row>
    <row r="5" ht="28" customHeight="1">
      <c r="A5" s="23" t="inlineStr"/>
      <c r="B5" s="24" t="inlineStr">
        <is>
          <t>01</t>
        </is>
      </c>
      <c r="C5" s="25" t="inlineStr">
        <is>
          <t>CVs — Investigators</t>
        </is>
      </c>
      <c r="D5" s="24" t="inlineStr">
        <is>
          <t>Core</t>
        </is>
      </c>
      <c r="E5" s="28" t="inlineStr">
        <is>
          <t>MISSING / GAP</t>
        </is>
      </c>
      <c r="F5" s="24" t="inlineStr">
        <is>
          <t>Section 8.2.10</t>
        </is>
      </c>
      <c r="G5" s="25" t="inlineStr">
        <is>
          <t>Required for all investigators — site-specific, not recoverable</t>
        </is>
      </c>
    </row>
    <row r="6" ht="28" customHeight="1">
      <c r="A6" s="23" t="inlineStr"/>
      <c r="B6" s="24" t="inlineStr">
        <is>
          <t>01</t>
        </is>
      </c>
      <c r="C6" s="25" t="inlineStr">
        <is>
          <t>Medical Licensure</t>
        </is>
      </c>
      <c r="D6" s="24" t="inlineStr">
        <is>
          <t>Core</t>
        </is>
      </c>
      <c r="E6" s="28" t="inlineStr">
        <is>
          <t>MISSING / GAP</t>
        </is>
      </c>
      <c r="F6" s="24" t="inlineStr">
        <is>
          <t>Section 8.2.10</t>
        </is>
      </c>
      <c r="G6" s="25" t="inlineStr">
        <is>
          <t>Site-level gap — not recoverable from public sources</t>
        </is>
      </c>
    </row>
    <row r="7" ht="28" customHeight="1">
      <c r="A7" s="23" t="inlineStr"/>
      <c r="B7" s="24" t="inlineStr">
        <is>
          <t>01</t>
        </is>
      </c>
      <c r="C7" s="25" t="inlineStr">
        <is>
          <t>Training Records</t>
        </is>
      </c>
      <c r="D7" s="24" t="inlineStr">
        <is>
          <t>Core</t>
        </is>
      </c>
      <c r="E7" s="28" t="inlineStr">
        <is>
          <t>MISSING / GAP</t>
        </is>
      </c>
      <c r="F7" s="24" t="inlineStr">
        <is>
          <t>Section 5.4</t>
        </is>
      </c>
      <c r="G7" s="25" t="inlineStr">
        <is>
          <t>GCP training required for all staff across ~300 sites</t>
        </is>
      </c>
    </row>
    <row r="8" ht="28" customHeight="1">
      <c r="A8" s="23" t="inlineStr"/>
      <c r="B8" s="24" t="inlineStr">
        <is>
          <t>02</t>
        </is>
      </c>
      <c r="C8" s="25" t="inlineStr">
        <is>
          <t>Protocol</t>
        </is>
      </c>
      <c r="D8" s="24" t="inlineStr">
        <is>
          <t>Core</t>
        </is>
      </c>
      <c r="E8" s="27" t="inlineStr">
        <is>
          <t>AVAILABLE</t>
        </is>
      </c>
      <c r="F8" s="24" t="inlineStr">
        <is>
          <t>Section 8.2.2</t>
        </is>
      </c>
      <c r="G8" s="25" t="inlineStr">
        <is>
          <t>✓ Full protocol publicly available at ClinicalTrials.gov</t>
        </is>
      </c>
    </row>
    <row r="9" ht="28" customHeight="1">
      <c r="A9" s="23" t="inlineStr"/>
      <c r="B9" s="24" t="inlineStr">
        <is>
          <t>02</t>
        </is>
      </c>
      <c r="C9" s="25" t="inlineStr">
        <is>
          <t>Protocol Amendment(s)</t>
        </is>
      </c>
      <c r="D9" s="24" t="inlineStr">
        <is>
          <t>Core</t>
        </is>
      </c>
      <c r="E9" s="27" t="inlineStr">
        <is>
          <t>AVAILABLE</t>
        </is>
      </c>
      <c r="F9" s="24" t="inlineStr">
        <is>
          <t>Section 8.3.2</t>
        </is>
      </c>
      <c r="G9" s="25" t="inlineStr">
        <is>
          <t>✓ Latest version (Feb 2018) available in same PDF</t>
        </is>
      </c>
    </row>
    <row r="10" ht="28" customHeight="1">
      <c r="A10" s="23" t="inlineStr"/>
      <c r="B10" s="24" t="inlineStr">
        <is>
          <t>02</t>
        </is>
      </c>
      <c r="C10" s="25" t="inlineStr">
        <is>
          <t>Investigator's Brochure</t>
        </is>
      </c>
      <c r="D10" s="24" t="inlineStr">
        <is>
          <t>Core</t>
        </is>
      </c>
      <c r="E10" s="26" t="inlineStr">
        <is>
          <t>INFERRED</t>
        </is>
      </c>
      <c r="F10" s="24" t="inlineStr">
        <is>
          <t>Section 8.2.1</t>
        </is>
      </c>
      <c r="G10" s="25" t="inlineStr">
        <is>
          <t>Trastuzumab IB maintained by Genentech/NCI — confirmed but not public</t>
        </is>
      </c>
    </row>
    <row r="11" ht="28" customHeight="1">
      <c r="A11" s="23" t="inlineStr"/>
      <c r="B11" s="24" t="inlineStr">
        <is>
          <t>02</t>
        </is>
      </c>
      <c r="C11" s="25" t="inlineStr">
        <is>
          <t>Informed Consent Form</t>
        </is>
      </c>
      <c r="D11" s="24" t="inlineStr">
        <is>
          <t>Core</t>
        </is>
      </c>
      <c r="E11" s="26" t="inlineStr">
        <is>
          <t>INFERRED</t>
        </is>
      </c>
      <c r="F11" s="24" t="inlineStr">
        <is>
          <t>Section 8.2.3</t>
        </is>
      </c>
      <c r="G11" s="25" t="inlineStr">
        <is>
          <t>ICF referenced extensively in protocol — template not posted</t>
        </is>
      </c>
    </row>
    <row r="12" ht="28" customHeight="1">
      <c r="A12" s="23" t="inlineStr"/>
      <c r="B12" s="24" t="inlineStr">
        <is>
          <t>02</t>
        </is>
      </c>
      <c r="C12" s="25" t="inlineStr">
        <is>
          <t>Sample CRF</t>
        </is>
      </c>
      <c r="D12" s="24" t="inlineStr">
        <is>
          <t>Core</t>
        </is>
      </c>
      <c r="E12" s="26" t="inlineStr">
        <is>
          <t>INFERRED</t>
        </is>
      </c>
      <c r="F12" s="24" t="inlineStr">
        <is>
          <t>Section 8.3.14</t>
        </is>
      </c>
      <c r="G12" s="25" t="inlineStr">
        <is>
          <t>eCRF via RAVE — confirmed, not public</t>
        </is>
      </c>
    </row>
    <row r="13" ht="28" customHeight="1">
      <c r="A13" s="23" t="inlineStr"/>
      <c r="B13" s="24" t="inlineStr">
        <is>
          <t>02</t>
        </is>
      </c>
      <c r="C13" s="25" t="inlineStr">
        <is>
          <t>Clinical Study Report</t>
        </is>
      </c>
      <c r="D13" s="24" t="inlineStr">
        <is>
          <t>Core</t>
        </is>
      </c>
      <c r="E13" s="27" t="inlineStr">
        <is>
          <t>AVAILABLE</t>
        </is>
      </c>
      <c r="F13" s="24" t="inlineStr">
        <is>
          <t>Section 8.3.2 (post-trial)</t>
        </is>
      </c>
      <c r="G13" s="25" t="inlineStr">
        <is>
          <t>✓ Primary results published JCO 2020 (partial CSR equivalent)</t>
        </is>
      </c>
    </row>
    <row r="14" ht="28" customHeight="1">
      <c r="A14" s="23" t="inlineStr"/>
      <c r="B14" s="24" t="inlineStr">
        <is>
          <t>03</t>
        </is>
      </c>
      <c r="C14" s="25" t="inlineStr">
        <is>
          <t>IND Application</t>
        </is>
      </c>
      <c r="D14" s="24" t="inlineStr">
        <is>
          <t>Core</t>
        </is>
      </c>
      <c r="E14" s="26" t="inlineStr">
        <is>
          <t>INFERRED</t>
        </is>
      </c>
      <c r="F14" s="24" t="inlineStr">
        <is>
          <t>Section 8.2.7</t>
        </is>
      </c>
      <c r="G14" s="25" t="inlineStr">
        <is>
          <t>IND #113988 confirmed — content not public</t>
        </is>
      </c>
    </row>
    <row r="15" ht="28" customHeight="1">
      <c r="A15" s="23" t="inlineStr"/>
      <c r="B15" s="24" t="inlineStr">
        <is>
          <t>03</t>
        </is>
      </c>
      <c r="C15" s="25" t="inlineStr">
        <is>
          <t>Regulatory Authority Correspondence</t>
        </is>
      </c>
      <c r="D15" s="24" t="inlineStr">
        <is>
          <t>Core</t>
        </is>
      </c>
      <c r="E15" s="28" t="inlineStr">
        <is>
          <t>MISSING / GAP</t>
        </is>
      </c>
      <c r="F15" s="24" t="inlineStr">
        <is>
          <t>Section 8.2.7</t>
        </is>
      </c>
      <c r="G15" s="25" t="inlineStr">
        <is>
          <t>FDA correspondence for IND — not publicly available or recoverable</t>
        </is>
      </c>
    </row>
    <row r="16" ht="28" customHeight="1">
      <c r="A16" s="23" t="inlineStr"/>
      <c r="B16" s="24" t="inlineStr">
        <is>
          <t>03</t>
        </is>
      </c>
      <c r="C16" s="25" t="inlineStr">
        <is>
          <t>IND Safety Reports</t>
        </is>
      </c>
      <c r="D16" s="24" t="inlineStr">
        <is>
          <t>Core</t>
        </is>
      </c>
      <c r="E16" s="26" t="inlineStr">
        <is>
          <t>INFERRED</t>
        </is>
      </c>
      <c r="F16" s="24" t="inlineStr">
        <is>
          <t>21 CFR 312.32</t>
        </is>
      </c>
      <c r="G16" s="25" t="inlineStr">
        <is>
          <t>Required per regulation — submitted but not public</t>
        </is>
      </c>
    </row>
    <row r="17" ht="28" customHeight="1">
      <c r="A17" s="23" t="inlineStr"/>
      <c r="B17" s="24" t="inlineStr">
        <is>
          <t>04</t>
        </is>
      </c>
      <c r="C17" s="25" t="inlineStr">
        <is>
          <t>IRB Initial Approval</t>
        </is>
      </c>
      <c r="D17" s="24" t="inlineStr">
        <is>
          <t>Core</t>
        </is>
      </c>
      <c r="E17" s="26" t="inlineStr">
        <is>
          <t>INFERRED</t>
        </is>
      </c>
      <c r="F17" s="24" t="inlineStr">
        <is>
          <t>Section 8.2.8</t>
        </is>
      </c>
      <c r="G17" s="25" t="inlineStr">
        <is>
          <t>NCI CIRB approval confirmed — letter not public</t>
        </is>
      </c>
    </row>
    <row r="18" ht="28" customHeight="1">
      <c r="A18" s="23" t="inlineStr"/>
      <c r="B18" s="24" t="inlineStr">
        <is>
          <t>04</t>
        </is>
      </c>
      <c r="C18" s="25" t="inlineStr">
        <is>
          <t>IRB Continuing Approvals</t>
        </is>
      </c>
      <c r="D18" s="24" t="inlineStr">
        <is>
          <t>Core</t>
        </is>
      </c>
      <c r="E18" s="26" t="inlineStr">
        <is>
          <t>INFERRED</t>
        </is>
      </c>
      <c r="F18" s="24" t="inlineStr">
        <is>
          <t>Section 8.3.9</t>
        </is>
      </c>
      <c r="G18" s="25" t="inlineStr">
        <is>
          <t>Required annually — confirmed through 5 years of trial conduct</t>
        </is>
      </c>
    </row>
    <row r="19" ht="28" customHeight="1">
      <c r="A19" s="23" t="inlineStr"/>
      <c r="B19" s="24" t="inlineStr">
        <is>
          <t>04</t>
        </is>
      </c>
      <c r="C19" s="25" t="inlineStr">
        <is>
          <t>IRB-Approved ICF</t>
        </is>
      </c>
      <c r="D19" s="24" t="inlineStr">
        <is>
          <t>Core</t>
        </is>
      </c>
      <c r="E19" s="28" t="inlineStr">
        <is>
          <t>MISSING / GAP</t>
        </is>
      </c>
      <c r="F19" s="24" t="inlineStr">
        <is>
          <t>Section 8.2.8</t>
        </is>
      </c>
      <c r="G19" s="25" t="inlineStr">
        <is>
          <t>Site-specific stamped ICF — not recoverable from public sources</t>
        </is>
      </c>
    </row>
    <row r="20" ht="28" customHeight="1">
      <c r="A20" s="23" t="inlineStr"/>
      <c r="B20" s="24" t="inlineStr">
        <is>
          <t>05</t>
        </is>
      </c>
      <c r="C20" s="25" t="inlineStr">
        <is>
          <t>Monitoring Plan</t>
        </is>
      </c>
      <c r="D20" s="24" t="inlineStr">
        <is>
          <t>Core</t>
        </is>
      </c>
      <c r="E20" s="26" t="inlineStr">
        <is>
          <t>INFERRED</t>
        </is>
      </c>
      <c r="F20" s="24" t="inlineStr">
        <is>
          <t>Section 5.18</t>
        </is>
      </c>
      <c r="G20" s="25" t="inlineStr">
        <is>
          <t>CTSU/NCI monitoring confirmed — plan document not public</t>
        </is>
      </c>
    </row>
    <row r="21" ht="28" customHeight="1">
      <c r="A21" s="23" t="inlineStr"/>
      <c r="B21" s="24" t="inlineStr">
        <is>
          <t>05</t>
        </is>
      </c>
      <c r="C21" s="25" t="inlineStr">
        <is>
          <t>Signed Protocol Signature Page</t>
        </is>
      </c>
      <c r="D21" s="24" t="inlineStr">
        <is>
          <t>Core</t>
        </is>
      </c>
      <c r="E21" s="28" t="inlineStr">
        <is>
          <t>MISSING / GAP</t>
        </is>
      </c>
      <c r="F21" s="24" t="inlineStr">
        <is>
          <t>Section 8.2.4</t>
        </is>
      </c>
      <c r="G21" s="25" t="inlineStr">
        <is>
          <t>Required at each site — not publicly available</t>
        </is>
      </c>
    </row>
    <row r="22" ht="28" customHeight="1">
      <c r="A22" s="23" t="inlineStr"/>
      <c r="B22" s="24" t="inlineStr">
        <is>
          <t>05</t>
        </is>
      </c>
      <c r="C22" s="25" t="inlineStr">
        <is>
          <t>Monitoring Visit Reports</t>
        </is>
      </c>
      <c r="D22" s="24" t="inlineStr">
        <is>
          <t>Core</t>
        </is>
      </c>
      <c r="E22" s="28" t="inlineStr">
        <is>
          <t>MISSING / GAP</t>
        </is>
      </c>
      <c r="F22" s="24" t="inlineStr">
        <is>
          <t>Section 8.3.5</t>
        </is>
      </c>
      <c r="G22" s="25" t="inlineStr">
        <is>
          <t>Site monitoring records — internal NCI documents</t>
        </is>
      </c>
    </row>
    <row r="23" ht="28" customHeight="1">
      <c r="A23" s="23" t="inlineStr"/>
      <c r="B23" s="24" t="inlineStr">
        <is>
          <t>06</t>
        </is>
      </c>
      <c r="C23" s="25" t="inlineStr">
        <is>
          <t>Drug Accountability Records</t>
        </is>
      </c>
      <c r="D23" s="24" t="inlineStr">
        <is>
          <t>Core</t>
        </is>
      </c>
      <c r="E23" s="26" t="inlineStr">
        <is>
          <t>INFERRED</t>
        </is>
      </c>
      <c r="F23" s="24" t="inlineStr">
        <is>
          <t>Section 8.3.23</t>
        </is>
      </c>
      <c r="G23" s="25" t="inlineStr">
        <is>
          <t>Trastuzumab dispensing records at sites — confirmed but not public</t>
        </is>
      </c>
    </row>
    <row r="24" ht="28" customHeight="1">
      <c r="A24" s="23" t="inlineStr"/>
      <c r="B24" s="24" t="inlineStr">
        <is>
          <t>06</t>
        </is>
      </c>
      <c r="C24" s="25" t="inlineStr">
        <is>
          <t>Certificate of Analysis</t>
        </is>
      </c>
      <c r="D24" s="24" t="inlineStr">
        <is>
          <t>Core</t>
        </is>
      </c>
      <c r="E24" s="26" t="inlineStr">
        <is>
          <t>INFERRED</t>
        </is>
      </c>
      <c r="F24" s="24" t="inlineStr">
        <is>
          <t>Section 8.2.15</t>
        </is>
      </c>
      <c r="G24" s="25" t="inlineStr">
        <is>
          <t>Genentech batch certificates to NCI — not public</t>
        </is>
      </c>
    </row>
    <row r="25" ht="28" customHeight="1">
      <c r="A25" s="23" t="inlineStr"/>
      <c r="B25" s="24" t="inlineStr">
        <is>
          <t>06</t>
        </is>
      </c>
      <c r="C25" s="25" t="inlineStr">
        <is>
          <t>IP Labeling</t>
        </is>
      </c>
      <c r="D25" s="24" t="inlineStr">
        <is>
          <t>Core</t>
        </is>
      </c>
      <c r="E25" s="26" t="inlineStr">
        <is>
          <t>INFERRED</t>
        </is>
      </c>
      <c r="F25" s="24" t="inlineStr">
        <is>
          <t>Section 8.2.14</t>
        </is>
      </c>
      <c r="G25" s="25" t="inlineStr">
        <is>
          <t>Trial-specific trastuzumab label — not public</t>
        </is>
      </c>
    </row>
    <row r="26" ht="28" customHeight="1">
      <c r="A26" s="23" t="inlineStr"/>
      <c r="B26" s="24" t="inlineStr">
        <is>
          <t>07</t>
        </is>
      </c>
      <c r="C26" s="25" t="inlineStr">
        <is>
          <t>Safety Management Plan</t>
        </is>
      </c>
      <c r="D26" s="24" t="inlineStr">
        <is>
          <t>Core</t>
        </is>
      </c>
      <c r="E26" s="27" t="inlineStr">
        <is>
          <t>AVAILABLE</t>
        </is>
      </c>
      <c r="F26" s="24" t="inlineStr">
        <is>
          <t>Section 5.17</t>
        </is>
      </c>
      <c r="G26" s="25" t="inlineStr">
        <is>
          <t>✓ Cardiac monitoring protocol detailed in B-47 protocol document</t>
        </is>
      </c>
    </row>
    <row r="27" ht="28" customHeight="1">
      <c r="A27" s="23" t="inlineStr"/>
      <c r="B27" s="24" t="inlineStr">
        <is>
          <t>07</t>
        </is>
      </c>
      <c r="C27" s="25" t="inlineStr">
        <is>
          <t>SAE Reports</t>
        </is>
      </c>
      <c r="D27" s="24" t="inlineStr">
        <is>
          <t>Core</t>
        </is>
      </c>
      <c r="E27" s="26" t="inlineStr">
        <is>
          <t>INFERRED</t>
        </is>
      </c>
      <c r="F27" s="24" t="inlineStr">
        <is>
          <t>Section 8.3.4</t>
        </is>
      </c>
      <c r="G27" s="25" t="inlineStr">
        <is>
          <t>Aggregate SAE data in JCO 2020 — individual reports not public</t>
        </is>
      </c>
    </row>
    <row r="28" ht="28" customHeight="1">
      <c r="A28" s="23" t="inlineStr"/>
      <c r="B28" s="24" t="inlineStr">
        <is>
          <t>07</t>
        </is>
      </c>
      <c r="C28" s="25" t="inlineStr">
        <is>
          <t>DSUR / IND Annual Report</t>
        </is>
      </c>
      <c r="D28" s="24" t="inlineStr">
        <is>
          <t>Core</t>
        </is>
      </c>
      <c r="E28" s="26" t="inlineStr">
        <is>
          <t>INFERRED</t>
        </is>
      </c>
      <c r="F28" s="24" t="inlineStr">
        <is>
          <t>ICH E2F</t>
        </is>
      </c>
      <c r="G28" s="25" t="inlineStr">
        <is>
          <t>Submitted to FDA annually — not public</t>
        </is>
      </c>
    </row>
    <row r="29" ht="28" customHeight="1">
      <c r="A29" s="23" t="inlineStr"/>
      <c r="B29" s="24" t="inlineStr">
        <is>
          <t>08</t>
        </is>
      </c>
      <c r="C29" s="25" t="inlineStr">
        <is>
          <t>Central Lab Accreditation</t>
        </is>
      </c>
      <c r="D29" s="24" t="inlineStr">
        <is>
          <t>Core</t>
        </is>
      </c>
      <c r="E29" s="26" t="inlineStr">
        <is>
          <t>INFERRED</t>
        </is>
      </c>
      <c r="F29" s="24" t="inlineStr">
        <is>
          <t>Section 8.2.12</t>
        </is>
      </c>
      <c r="G29" s="25" t="inlineStr">
        <is>
          <t>NRG central pathology lab confirmed — accreditation cert not public</t>
        </is>
      </c>
    </row>
    <row r="30" ht="28" customHeight="1">
      <c r="A30" s="23" t="inlineStr"/>
      <c r="B30" s="24" t="inlineStr">
        <is>
          <t>08</t>
        </is>
      </c>
      <c r="C30" s="25" t="inlineStr">
        <is>
          <t>Normal Ranges</t>
        </is>
      </c>
      <c r="D30" s="24" t="inlineStr">
        <is>
          <t>Core</t>
        </is>
      </c>
      <c r="E30" s="27" t="inlineStr">
        <is>
          <t>AVAILABLE</t>
        </is>
      </c>
      <c r="F30" s="24" t="inlineStr">
        <is>
          <t>Section 8.2.13</t>
        </is>
      </c>
      <c r="G30" s="25" t="inlineStr">
        <is>
          <t>✓ FISH/IHC thresholds in protocol eligibility criteria</t>
        </is>
      </c>
    </row>
    <row r="31" ht="28" customHeight="1">
      <c r="A31" s="23" t="inlineStr"/>
      <c r="B31" s="24" t="inlineStr">
        <is>
          <t>08</t>
        </is>
      </c>
      <c r="C31" s="25" t="inlineStr">
        <is>
          <t>Lab Procedures Manual</t>
        </is>
      </c>
      <c r="D31" s="24" t="inlineStr">
        <is>
          <t>Core</t>
        </is>
      </c>
      <c r="E31" s="26" t="inlineStr">
        <is>
          <t>INFERRED</t>
        </is>
      </c>
      <c r="F31" s="24" t="inlineStr">
        <is>
          <t>Section 8.2.12</t>
        </is>
      </c>
      <c r="G31" s="25" t="inlineStr">
        <is>
          <t>HER2 testing manual referenced — not public</t>
        </is>
      </c>
    </row>
    <row r="32" ht="28" customHeight="1">
      <c r="A32" s="23" t="inlineStr"/>
      <c r="B32" s="24" t="inlineStr">
        <is>
          <t>08</t>
        </is>
      </c>
      <c r="C32" s="25" t="inlineStr">
        <is>
          <t>Local Lab Certification</t>
        </is>
      </c>
      <c r="D32" s="24" t="inlineStr">
        <is>
          <t>Core</t>
        </is>
      </c>
      <c r="E32" s="28" t="inlineStr">
        <is>
          <t>MISSING / GAP</t>
        </is>
      </c>
      <c r="F32" s="24" t="inlineStr">
        <is>
          <t>Section 8.2.12</t>
        </is>
      </c>
      <c r="G32" s="25" t="inlineStr">
        <is>
          <t>CLIA certs for ~300 sites — not publicly available</t>
        </is>
      </c>
    </row>
    <row r="33" ht="28" customHeight="1">
      <c r="A33" s="23" t="inlineStr"/>
      <c r="B33" s="24" t="inlineStr">
        <is>
          <t>09</t>
        </is>
      </c>
      <c r="C33" s="25" t="inlineStr">
        <is>
          <t>Genentech IP Supply Agreement</t>
        </is>
      </c>
      <c r="D33" s="24" t="inlineStr">
        <is>
          <t>Core</t>
        </is>
      </c>
      <c r="E33" s="26" t="inlineStr">
        <is>
          <t>INFERRED</t>
        </is>
      </c>
      <c r="F33" s="24" t="inlineStr">
        <is>
          <t>Section 8.2.20</t>
        </is>
      </c>
      <c r="G33" s="25" t="inlineStr">
        <is>
          <t>Confirmed in protocol; contract terms not public</t>
        </is>
      </c>
    </row>
    <row r="34" ht="28" customHeight="1">
      <c r="A34" s="23" t="inlineStr"/>
      <c r="B34" s="24" t="inlineStr">
        <is>
          <t>10</t>
        </is>
      </c>
      <c r="C34" s="25" t="inlineStr">
        <is>
          <t>Statistical Analysis Plan</t>
        </is>
      </c>
      <c r="D34" s="24" t="inlineStr">
        <is>
          <t>Core</t>
        </is>
      </c>
      <c r="E34" s="27" t="inlineStr">
        <is>
          <t>AVAILABLE</t>
        </is>
      </c>
      <c r="F34" s="24" t="inlineStr">
        <is>
          <t>Section 8.3.2</t>
        </is>
      </c>
      <c r="G34" s="25" t="inlineStr">
        <is>
          <t>✓ SAP published with protocol PDF at ClinicalTrials.gov</t>
        </is>
      </c>
    </row>
    <row r="35" ht="28" customHeight="1">
      <c r="A35" s="23" t="inlineStr"/>
      <c r="B35" s="24" t="inlineStr">
        <is>
          <t>10</t>
        </is>
      </c>
      <c r="C35" s="25" t="inlineStr">
        <is>
          <t>Database Lock Documentation</t>
        </is>
      </c>
      <c r="D35" s="24" t="inlineStr">
        <is>
          <t>Core</t>
        </is>
      </c>
      <c r="E35" s="26" t="inlineStr">
        <is>
          <t>INFERRED</t>
        </is>
      </c>
      <c r="F35" s="24" t="inlineStr">
        <is>
          <t>Section 8.3.2</t>
        </is>
      </c>
      <c r="G35" s="25" t="inlineStr">
        <is>
          <t>Results published 2020 — lock confirmed but documentation not public</t>
        </is>
      </c>
    </row>
    <row r="36" ht="28" customHeight="1">
      <c r="A36" s="23" t="inlineStr"/>
      <c r="B36" s="24" t="inlineStr">
        <is>
          <t>10</t>
        </is>
      </c>
      <c r="C36" s="25" t="inlineStr">
        <is>
          <t>Final CRF Data</t>
        </is>
      </c>
      <c r="D36" s="24" t="inlineStr">
        <is>
          <t>Core</t>
        </is>
      </c>
      <c r="E36" s="26" t="inlineStr">
        <is>
          <t>INFERRED</t>
        </is>
      </c>
      <c r="F36" s="24" t="inlineStr">
        <is>
          <t>Section 8.3.14</t>
        </is>
      </c>
      <c r="G36" s="25" t="inlineStr">
        <is>
          <t>3,270 completed eCRFs — maintained in NCTN database, not public</t>
        </is>
      </c>
    </row>
    <row r="37" ht="28" customHeight="1">
      <c r="A37" s="23" t="inlineStr"/>
      <c r="B37" s="24" t="inlineStr">
        <is>
          <t>11</t>
        </is>
      </c>
      <c r="C37" s="25" t="inlineStr">
        <is>
          <t>Randomization Scheme</t>
        </is>
      </c>
      <c r="D37" s="24" t="inlineStr">
        <is>
          <t>Core</t>
        </is>
      </c>
      <c r="E37" s="26" t="inlineStr">
        <is>
          <t>INFERRED</t>
        </is>
      </c>
      <c r="F37" s="24" t="inlineStr">
        <is>
          <t>Section 8.2.19</t>
        </is>
      </c>
      <c r="G37" s="25" t="inlineStr">
        <is>
          <t>Stratification documented in protocol — full scheme not public</t>
        </is>
      </c>
    </row>
    <row r="39" ht="10" customHeight="1"/>
    <row r="40" ht="22" customHeight="1">
      <c r="B40" s="29" t="inlineStr">
        <is>
          <t>COMPLETENESS SUMMARY — CORE ARTIFACTS ONLY</t>
        </is>
      </c>
    </row>
    <row r="41" ht="22" customHeight="1">
      <c r="B41" s="7" t="inlineStr">
        <is>
          <t>AVAILABLE</t>
        </is>
      </c>
      <c r="C41" s="8" t="inlineStr">
        <is>
          <t>Publicly accessible document confirmed</t>
        </is>
      </c>
      <c r="G41" s="30">
        <f>COUNTIF(E2:E38,"AVAILABLE")</f>
        <v/>
      </c>
    </row>
    <row r="42" ht="22" customHeight="1">
      <c r="B42" s="9" t="inlineStr">
        <is>
          <t>INFERRED</t>
        </is>
      </c>
      <c r="C42" s="8" t="inlineStr">
        <is>
          <t>Exists but not publicly accessible</t>
        </is>
      </c>
      <c r="G42" s="30">
        <f>COUNTIF(E2:E38,"INFERRED")</f>
        <v/>
      </c>
    </row>
    <row r="43" ht="22" customHeight="1">
      <c r="B43" s="11" t="inlineStr">
        <is>
          <t>MISSING / GAP</t>
        </is>
      </c>
      <c r="C43" s="8" t="inlineStr">
        <is>
          <t>Core artifact — no source identified</t>
        </is>
      </c>
      <c r="G43" s="30">
        <f>COUNTIF(E2:E38,"MISSING / GAP")</f>
        <v/>
      </c>
    </row>
    <row r="44" ht="22" customHeight="1">
      <c r="B44" s="10" t="inlineStr">
        <is>
          <t>NOT APPLICABLE</t>
        </is>
      </c>
      <c r="C44" s="8" t="inlineStr">
        <is>
          <t>Artifact not applicable to this trial design</t>
        </is>
      </c>
      <c r="G44" s="30">
        <f>COUNTIF(E2:E38,"NOT APPLICABLE")</f>
        <v/>
      </c>
    </row>
    <row r="45" ht="22" customHeight="1">
      <c r="B45" s="31" t="inlineStr">
        <is>
          <t>TOTAL CORE</t>
        </is>
      </c>
      <c r="C45" s="8" t="inlineStr">
        <is>
          <t>Total core artifacts assessed</t>
        </is>
      </c>
      <c r="G45" s="30">
        <f>COUNTA(E2:E38)</f>
        <v/>
      </c>
    </row>
  </sheetData>
  <autoFilter ref="B1:G38"/>
  <mergeCells count="6">
    <mergeCell ref="C45:F45"/>
    <mergeCell ref="C43:F43"/>
    <mergeCell ref="B40:G40"/>
    <mergeCell ref="C41:F41"/>
    <mergeCell ref="C42:F42"/>
    <mergeCell ref="C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2026-06-05T09:07:41Z</dcterms:created>
  <dcterms:modified xmlns:dcterms="http://purl.org/dc/terms/" xmlns:xsi="http://www.w3.org/2001/XMLSchema-instance" xsi:type="dcterms:W3CDTF">2026-06-05T09:07:42Z</dcterms:modified>
</cp:coreProperties>
</file>